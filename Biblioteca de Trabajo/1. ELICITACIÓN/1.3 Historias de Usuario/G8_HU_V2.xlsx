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ERSON\Music\"/>
    </mc:Choice>
  </mc:AlternateContent>
  <xr:revisionPtr revIDLastSave="0" documentId="8_{EECE050B-42FA-4785-BCF9-E89140392E9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<sst xmlns="http://schemas.openxmlformats.org/spreadsheetml/2006/main" count="181" uniqueCount="132">
  <si>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</si>
  <si>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</si>
  <si>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</si>
  <si>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</si>
  <si>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</si>
  <si>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</si>
  <si>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</si>
  <si>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</si>
  <si>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</si>
  <si>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</si>
  <si>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</si>
  <si>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</si>
  <si>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</si>
  <si>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</si>
  <si>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</si>
  <si>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</si>
  <si>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requiere controlar el acceso general de usuarios.</t>
  </si>
  <si>
    <t>Gestionar el acceso al sistema.</t>
  </si>
  <si>
    <t>Permitir el ingreso y control de acceso según el rol del usuario.</t>
  </si>
  <si>
    <t>Administrador/Agricultor</t>
  </si>
  <si>
    <t>Se establecerá el flujo general de acceso al sistema, definiendo que solo usuarios autenticados pueden ingresar a las funcionalidades principales.</t>
  </si>
  <si>
    <t>Ariel Morrillo</t>
  </si>
  <si>
    <t>Alta</t>
  </si>
  <si>
    <t>No iniciado</t>
  </si>
  <si>
    <t>Verificar que usuarios no autenticados no puedan acceder a módulos internos del sistema.</t>
  </si>
  <si>
    <t>Requisito general del módulo de seguridad.</t>
  </si>
  <si>
    <t>Acceder al sistema</t>
  </si>
  <si>
    <t>REQ001.1</t>
  </si>
  <si>
    <t>El sistema necesita verificar la identidad de los usuarios.</t>
  </si>
  <si>
    <t>Autenticar credenciales de acceso.</t>
  </si>
  <si>
    <t>Validar usuarios mediante usuario y contraseña.</t>
  </si>
  <si>
    <t>Se implementará un formulario de autenticación donde el usuario ingresará sus credenciales, las cuales serán validadas contra la base de datos para permitir el acceso al sistema.</t>
  </si>
  <si>
    <t>Ingresar credenciales válidas e inválidas y verificar acceso o denegación.</t>
  </si>
  <si>
    <t>Proceso de autenticación individual del usuario.</t>
  </si>
  <si>
    <t>Iniciar sesión</t>
  </si>
  <si>
    <t>REQ001.2</t>
  </si>
  <si>
    <t>El usuario puede olvidar su contraseña y perder acceso al sistema.</t>
  </si>
  <si>
    <t>Recuperar el acceso a la cuenta mediante validación de identidad.</t>
  </si>
  <si>
    <t>Permitir al usuario restablecer su contraseña de forma segura.</t>
  </si>
  <si>
    <t>Desarrollar una opción de recuperación de contraseña donde el usuario ingresará su correo electrónico registrado. El sistema verificará la existencia del usuario y enviará un enlace o código de recuperación para permitir el cambio de contraseña.</t>
  </si>
  <si>
    <t>Alejandro Montufar</t>
  </si>
  <si>
    <t xml:space="preserve">Media </t>
  </si>
  <si>
    <t>Solicitar recuperación con correo válido y verificar envío de enlace/código. Intentar con correo no registrado y validar mensaje de error.</t>
  </si>
  <si>
    <t>El enlace de recuperación debe ser temporal para seguridad del sistema.</t>
  </si>
  <si>
    <t>Recuperar contraseña</t>
  </si>
  <si>
    <t>REQ002</t>
  </si>
  <si>
    <t>El usuario no puede personalizar ni actualizar su información de perfil dentro del sistema.</t>
  </si>
  <si>
    <t>Permitir la configuración y actualización de datos del perfil de usuario.</t>
  </si>
  <si>
    <t>Mantener actualizada la información personal y preferencias del usuario.</t>
  </si>
  <si>
    <t>Construir un módulo de configuración de perfil donde el usuario podrá visualizar y actualizar sus datos personales, como nombre, correo y preferencias del sistema. El sistema validará los cambios y los almacenará en la base de datos.</t>
  </si>
  <si>
    <t>Actualizar datos del perfil y verificar que los cambios se reflejen correctamente al recargar sesión. Intentar ingresar datos inválidos y validar mensajes de error.</t>
  </si>
  <si>
    <t>Los cambios deben persistirse en la base de datos y reflejarse en futuras sesiones.</t>
  </si>
  <si>
    <t>REQ002.1</t>
  </si>
  <si>
    <t>El usuario no puede actualizar su información personal una vez registrada.</t>
  </si>
  <si>
    <t>Permitir la actualización de datos personales del usuario.</t>
  </si>
  <si>
    <t>Mantener la información del usuario actualizada dentro del sistema.</t>
  </si>
  <si>
    <t>Se desarrollará una interfaz para edición de datos de perfil donde el usuario podrá modificar información como nombre, correo y otros datos personales. El sistema validará los cambios y los almacenará en la base de datos.</t>
  </si>
  <si>
    <t>Modificar datos del perfil y verificar que los cambios se reflejen correctamente en el sistema. Intentar ingresar datos inválidos y validar mensajes de error.</t>
  </si>
  <si>
    <t>Actualizar datos</t>
  </si>
  <si>
    <t>REQ002.2</t>
  </si>
  <si>
    <t>El usuario necesita cambiar su contraseña por seguridad o actualización.</t>
  </si>
  <si>
    <t>Permitir el cambio de contraseña del usuario autenticado.</t>
  </si>
  <si>
    <t>Mejorar la seguridad de la cuenta del usuario dentro del sistema.</t>
  </si>
  <si>
    <t>Se va a implementar una opción de cambio de contraseña donde el usuario ingresará su contraseña actual y una nueva contraseña. El sistema validará la contraseña actual y actualizará la nueva en la base de datos si cumple con los requisitos de seguridad.</t>
  </si>
  <si>
    <t>Jerson Llumiquinga M.</t>
  </si>
  <si>
    <t>Cambiar contraseña con datos válidos y verificar acceso posterior. Intentar con contraseña incorrecta y validar mensaje de error.</t>
  </si>
  <si>
    <t>La contraseña debe cumplir políticas mínimas de seguridad.</t>
  </si>
  <si>
    <t>Modificar contraseña</t>
  </si>
  <si>
    <t>REQ002.3</t>
  </si>
  <si>
    <t>El usuario no puede personalizar la apariencia y configuración del sistema según sus preferencias.</t>
  </si>
  <si>
    <t>Permitir la configuración de preferencias del usuario.</t>
  </si>
  <si>
    <t>Adaptar la interfaz del sistema a las necesidades del usuario.</t>
  </si>
  <si>
    <t>Se creará una sección de preferencias donde el usuario podrá seleccionar opciones como idioma y tema de la interfaz. El sistema aplicará los cambios y los almacenará para futuras sesiones.</t>
  </si>
  <si>
    <t>Baja</t>
  </si>
  <si>
    <t>Cambiar idioma o tema y verificar que los cambios se mantengan al cerrar y volver a ingresar al sistema.</t>
  </si>
  <si>
    <t>Las preferencias deben persistir entre sesiones del usuario.</t>
  </si>
  <si>
    <t>REQ003</t>
  </si>
  <si>
    <t>El sistema no cuenta con una gestión centralizada de agricultores registrados.</t>
  </si>
  <si>
    <t>Administrar la información de agricultores dentro del sistema.</t>
  </si>
  <si>
    <t>Permitir el control organizado de los registros de agricultores.</t>
  </si>
  <si>
    <t>Administrador</t>
  </si>
  <si>
    <t>Se desarrollará un módulo de gestión de agricultores que permita realizar operaciones de administración como creación, consulta, actualización y eliminación de registros.</t>
  </si>
  <si>
    <t>Verificar acceso al módulo y validación general de operaciones CRUD.</t>
  </si>
  <si>
    <t>Módulo base para operaciones de agricultores.</t>
  </si>
  <si>
    <t>Gestionar agricultores</t>
  </si>
  <si>
    <t>REQ003.1</t>
  </si>
  <si>
    <t>El sistema no permite registrar nuevos agricultores.</t>
  </si>
  <si>
    <t>Permitir el registro de agricultores en el sistema.</t>
  </si>
  <si>
    <t>Mantener actualizado el registro de agricultores.</t>
  </si>
  <si>
    <t>Se implementará un formulario de registro de agricultores donde se ingresarán datos personales como nombre, cédula y correo electrónico. El sistema validará los datos ingresados y los almacenará en la base de datos.</t>
  </si>
  <si>
    <t>Registrar un agricultor con datos válidos y verificar almacenamiento correcto. Intentar registrar datos duplicados y validar mensajes de error.</t>
  </si>
  <si>
    <t>Validación de unicidad de datos obligatorios.</t>
  </si>
  <si>
    <t>Crear agricultor</t>
  </si>
  <si>
    <t>REQ003.2</t>
  </si>
  <si>
    <t>El sistema no permite visualizar fácilmente los datos de agricultores registrados.</t>
  </si>
  <si>
    <t>Consultar información de agricultores.</t>
  </si>
  <si>
    <t>Facilitar el acceso a los registros almacenados.</t>
  </si>
  <si>
    <t>Construir una interfaz de consulta donde se podrá buscar agricultores por nombre o cédula. El sistema mostrará los datos correspondientes desde la base de datos.</t>
  </si>
  <si>
    <t>Buscar un agricultor por nombre o cédula y verificar que se muestre la información correcta.</t>
  </si>
  <si>
    <t>Búsqueda eficiente de registros.</t>
  </si>
  <si>
    <t>Consultar agricultor</t>
  </si>
  <si>
    <t>REQ003.3</t>
  </si>
  <si>
    <t>Los datos de los agricultores pueden quedar desactualizados.</t>
  </si>
  <si>
    <t>Modificar la información de agricultores.</t>
  </si>
  <si>
    <t>Mantener los registros actualizados dentro del sistema.</t>
  </si>
  <si>
    <t>Implementar una opción de edición de agricultores donde se podrán modificar datos existentes. El sistema permitirá actualizar la información y almacenarla en la base de datos.</t>
  </si>
  <si>
    <t>Modificar datos de un agricultor y verificar que los cambios se reflejen correctamente.</t>
  </si>
  <si>
    <t>Actualización de registros existentes.</t>
  </si>
  <si>
    <t>Editar agricultor</t>
  </si>
  <si>
    <t>REQ003.4</t>
  </si>
  <si>
    <t>El sistema puede mantener agricultores que ya no deben estar activos.</t>
  </si>
  <si>
    <t>Desactivar registros de agricultores.</t>
  </si>
  <si>
    <t>Mantener control sobre usuarios activos sin eliminar información histórica.</t>
  </si>
  <si>
    <t>Se desarrollará una funcionalidad para desactivar agricultores en lugar de eliminarlos. El sistema cambiará el estado del registro a inactivo y lo mantendrá en la base de datos.</t>
  </si>
  <si>
    <t>Desactivar un agricultor y verificar que no aparezca en listas activas.</t>
  </si>
  <si>
    <t>Se mantiene historial del agricultor.</t>
  </si>
  <si>
    <t>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</si>
  <si>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</si>
  <si>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</si>
  <si>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</si>
  <si>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</si>
  <si>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</si>
  <si>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</si>
  <si>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</si>
  <si>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</si>
  <si>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</si>
  <si>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</si>
  <si>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</si>
  <si>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</si>
  <si>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Desactivar agricultor</t>
  </si>
  <si>
    <t>Modificar preferencias de usuario</t>
  </si>
  <si>
    <t>Configurar perfil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</si>
</sst>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6" fillId="5" borderId="7" xfId="0" applyFont="1" applyFill="1" applyBorder="1"/>
    <xf numFmtId="0" fontId="9" fillId="5" borderId="9" xfId="0" applyFont="1" applyFill="1" applyBorder="1" applyAlignment="1">
      <alignment horizontal="left" vertical="center" wrapText="1"/>
    </xf>
    <xf numFmtId="0" fontId="10" fillId="5" borderId="9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1" fillId="0" borderId="5" xfId="0" applyFont="1" applyBorder="1"/>
    <xf numFmtId="49" fontId="5" fillId="0" borderId="4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0" xfId="0" applyFont="1" applyBorder="1"/>
    <xf numFmtId="0" fontId="3" fillId="0" borderId="22" xfId="0" applyFont="1" applyBorder="1"/>
    <xf numFmtId="49" fontId="10" fillId="3" borderId="7" xfId="0" applyNumberFormat="1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21" xfId="0" applyFont="1" applyBorder="1"/>
    <xf numFmtId="0" fontId="10" fillId="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10" fillId="3" borderId="7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5" fillId="8" borderId="7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wrapText="1"/>
    </xf>
    <xf numFmtId="0" fontId="6" fillId="0" borderId="0" xfId="0" applyFont="1"/>
    <xf numFmtId="0" fontId="18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showGridLines="0" tabSelected="1" topLeftCell="I15" zoomScale="85" zoomScaleNormal="85" workbookViewId="0">
      <selection activeCell="O6" sqref="O6"/>
    </sheetView>
  </sheetViews>
  <sheetFormatPr baseColWidth="10" defaultColWidth="12.625" defaultRowHeight="15" customHeight="1" x14ac:dyDescent="0.2"/>
  <cols>
    <col min="1" max="1" width="4.625" customWidth="1"/>
    <col min="2" max="2" width="8" customWidth="1"/>
    <col min="3" max="3" width="25.125" customWidth="1"/>
    <col min="4" max="4" width="31.125" customWidth="1"/>
    <col min="5" max="5" width="20.625" customWidth="1"/>
    <col min="6" max="6" width="17.75" customWidth="1"/>
    <col min="7" max="7" width="49.125" customWidth="1"/>
    <col min="8" max="12" width="10.625" customWidth="1"/>
    <col min="13" max="13" width="47.25" customWidth="1"/>
    <col min="14" max="14" width="26.75" customWidth="1"/>
    <col min="15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61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3</v>
      </c>
      <c r="J6" s="7">
        <v>46195</v>
      </c>
      <c r="K6" s="6" t="s">
        <v>22</v>
      </c>
      <c r="L6" s="6" t="s">
        <v>23</v>
      </c>
      <c r="M6" s="52" t="s">
        <v>24</v>
      </c>
      <c r="N6" s="12" t="s">
        <v>25</v>
      </c>
      <c r="O6" s="12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7.75" customHeight="1" x14ac:dyDescent="0.3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21</v>
      </c>
      <c r="I7" s="6">
        <v>7</v>
      </c>
      <c r="J7" s="7">
        <v>46195</v>
      </c>
      <c r="K7" s="6" t="s">
        <v>22</v>
      </c>
      <c r="L7" s="6" t="s">
        <v>23</v>
      </c>
      <c r="M7" s="6" t="s">
        <v>32</v>
      </c>
      <c r="N7" s="6" t="s">
        <v>33</v>
      </c>
      <c r="O7" s="1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7.75" customHeight="1" x14ac:dyDescent="0.3">
      <c r="A8" s="5"/>
      <c r="B8" s="6" t="s">
        <v>35</v>
      </c>
      <c r="C8" s="6" t="s">
        <v>36</v>
      </c>
      <c r="D8" s="11" t="s">
        <v>37</v>
      </c>
      <c r="E8" s="6" t="s">
        <v>38</v>
      </c>
      <c r="F8" s="6" t="s">
        <v>19</v>
      </c>
      <c r="G8" s="11" t="s">
        <v>39</v>
      </c>
      <c r="H8" s="6" t="s">
        <v>40</v>
      </c>
      <c r="I8" s="6">
        <v>5</v>
      </c>
      <c r="J8" s="7">
        <v>46195</v>
      </c>
      <c r="K8" s="6" t="s">
        <v>41</v>
      </c>
      <c r="L8" s="6" t="s">
        <v>23</v>
      </c>
      <c r="M8" s="6" t="s">
        <v>42</v>
      </c>
      <c r="N8" s="6" t="s">
        <v>43</v>
      </c>
      <c r="O8" s="12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.75" customHeight="1" x14ac:dyDescent="0.3">
      <c r="A9" s="51"/>
      <c r="B9" s="58" t="s">
        <v>45</v>
      </c>
      <c r="C9" s="58" t="s">
        <v>46</v>
      </c>
      <c r="D9" s="59" t="s">
        <v>47</v>
      </c>
      <c r="E9" s="58" t="s">
        <v>48</v>
      </c>
      <c r="F9" s="6" t="s">
        <v>19</v>
      </c>
      <c r="G9" s="59" t="s">
        <v>49</v>
      </c>
      <c r="H9" s="58" t="s">
        <v>21</v>
      </c>
      <c r="I9" s="58">
        <v>3</v>
      </c>
      <c r="J9" s="60">
        <v>46196</v>
      </c>
      <c r="K9" s="58" t="s">
        <v>41</v>
      </c>
      <c r="L9" s="58" t="s">
        <v>23</v>
      </c>
      <c r="M9" s="58" t="s">
        <v>50</v>
      </c>
      <c r="N9" s="58" t="s">
        <v>51</v>
      </c>
      <c r="O9" s="58" t="s">
        <v>131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8.75" customHeight="1" x14ac:dyDescent="0.3">
      <c r="A10" s="5"/>
      <c r="B10" s="6" t="s">
        <v>52</v>
      </c>
      <c r="C10" s="6" t="s">
        <v>53</v>
      </c>
      <c r="D10" s="11" t="s">
        <v>54</v>
      </c>
      <c r="E10" s="6" t="s">
        <v>55</v>
      </c>
      <c r="F10" s="6" t="s">
        <v>19</v>
      </c>
      <c r="G10" s="11" t="s">
        <v>56</v>
      </c>
      <c r="H10" s="6" t="s">
        <v>40</v>
      </c>
      <c r="I10" s="6">
        <v>3</v>
      </c>
      <c r="J10" s="7">
        <v>46196</v>
      </c>
      <c r="K10" s="6" t="s">
        <v>41</v>
      </c>
      <c r="L10" s="6" t="s">
        <v>23</v>
      </c>
      <c r="M10" s="6" t="s">
        <v>57</v>
      </c>
      <c r="N10" s="6" t="s">
        <v>51</v>
      </c>
      <c r="O10" s="12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7.25" customHeight="1" x14ac:dyDescent="0.3">
      <c r="A11" s="5"/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19</v>
      </c>
      <c r="G11" s="6" t="s">
        <v>63</v>
      </c>
      <c r="H11" s="6" t="s">
        <v>64</v>
      </c>
      <c r="I11" s="6">
        <v>3</v>
      </c>
      <c r="J11" s="7">
        <v>46197</v>
      </c>
      <c r="K11" s="6" t="s">
        <v>41</v>
      </c>
      <c r="L11" s="6" t="s">
        <v>23</v>
      </c>
      <c r="M11" s="8" t="s">
        <v>65</v>
      </c>
      <c r="N11" s="6" t="s">
        <v>66</v>
      </c>
      <c r="O11" s="9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6.25" customHeight="1" x14ac:dyDescent="0.3">
      <c r="A12" s="5"/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19</v>
      </c>
      <c r="G12" s="6" t="s">
        <v>72</v>
      </c>
      <c r="H12" s="6" t="s">
        <v>64</v>
      </c>
      <c r="I12" s="6">
        <v>4</v>
      </c>
      <c r="J12" s="7">
        <v>46197</v>
      </c>
      <c r="K12" s="6" t="s">
        <v>73</v>
      </c>
      <c r="L12" s="6" t="s">
        <v>23</v>
      </c>
      <c r="M12" s="8" t="s">
        <v>74</v>
      </c>
      <c r="N12" s="6" t="s">
        <v>75</v>
      </c>
      <c r="O12" s="9" t="s">
        <v>130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4.5" customHeight="1" x14ac:dyDescent="0.3">
      <c r="A13" s="5"/>
      <c r="B13" s="58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6" t="s">
        <v>64</v>
      </c>
      <c r="I13" s="6">
        <v>7</v>
      </c>
      <c r="J13" s="7">
        <v>46197</v>
      </c>
      <c r="K13" s="6" t="s">
        <v>22</v>
      </c>
      <c r="L13" s="6" t="s">
        <v>23</v>
      </c>
      <c r="M13" s="8" t="s">
        <v>82</v>
      </c>
      <c r="N13" s="6" t="s">
        <v>83</v>
      </c>
      <c r="O13" s="9" t="s">
        <v>84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9" customHeight="1" x14ac:dyDescent="0.3">
      <c r="A14" s="5"/>
      <c r="B14" s="6" t="s">
        <v>85</v>
      </c>
      <c r="C14" s="12" t="s">
        <v>86</v>
      </c>
      <c r="D14" s="12" t="s">
        <v>87</v>
      </c>
      <c r="E14" s="12" t="s">
        <v>88</v>
      </c>
      <c r="F14" s="6" t="s">
        <v>80</v>
      </c>
      <c r="G14" s="12" t="s">
        <v>89</v>
      </c>
      <c r="H14" s="6" t="s">
        <v>64</v>
      </c>
      <c r="I14" s="12">
        <v>3</v>
      </c>
      <c r="J14" s="7">
        <v>46209</v>
      </c>
      <c r="K14" s="6" t="s">
        <v>22</v>
      </c>
      <c r="L14" s="6" t="s">
        <v>23</v>
      </c>
      <c r="M14" s="52" t="s">
        <v>90</v>
      </c>
      <c r="N14" s="12" t="s">
        <v>91</v>
      </c>
      <c r="O14" s="12" t="s">
        <v>92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6.5" customHeight="1" x14ac:dyDescent="0.3">
      <c r="A15" s="5"/>
      <c r="B15" s="6" t="s">
        <v>93</v>
      </c>
      <c r="C15" s="12" t="s">
        <v>94</v>
      </c>
      <c r="D15" s="12" t="s">
        <v>95</v>
      </c>
      <c r="E15" s="12" t="s">
        <v>96</v>
      </c>
      <c r="F15" s="6" t="s">
        <v>80</v>
      </c>
      <c r="G15" s="12" t="s">
        <v>97</v>
      </c>
      <c r="H15" s="6" t="s">
        <v>64</v>
      </c>
      <c r="I15" s="12">
        <v>2</v>
      </c>
      <c r="J15" s="7">
        <v>46209</v>
      </c>
      <c r="K15" s="6" t="s">
        <v>22</v>
      </c>
      <c r="L15" s="6" t="s">
        <v>23</v>
      </c>
      <c r="M15" s="52" t="s">
        <v>98</v>
      </c>
      <c r="N15" s="12" t="s">
        <v>99</v>
      </c>
      <c r="O15" s="12" t="s">
        <v>100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2" customHeight="1" x14ac:dyDescent="0.3">
      <c r="A16" s="5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80</v>
      </c>
      <c r="G16" s="6" t="s">
        <v>105</v>
      </c>
      <c r="H16" s="6" t="s">
        <v>40</v>
      </c>
      <c r="I16" s="6">
        <v>2</v>
      </c>
      <c r="J16" s="7">
        <v>46210</v>
      </c>
      <c r="K16" s="6" t="s">
        <v>22</v>
      </c>
      <c r="L16" s="6" t="s">
        <v>23</v>
      </c>
      <c r="M16" s="8" t="s">
        <v>106</v>
      </c>
      <c r="N16" s="6" t="s">
        <v>107</v>
      </c>
      <c r="O16" s="9" t="s">
        <v>108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4" customHeight="1" x14ac:dyDescent="0.3">
      <c r="A17" s="5"/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80</v>
      </c>
      <c r="G17" s="6" t="s">
        <v>113</v>
      </c>
      <c r="H17" s="6" t="s">
        <v>21</v>
      </c>
      <c r="I17" s="6">
        <v>2</v>
      </c>
      <c r="J17" s="7">
        <v>46210</v>
      </c>
      <c r="K17" s="6" t="s">
        <v>22</v>
      </c>
      <c r="L17" s="6" t="s">
        <v>23</v>
      </c>
      <c r="M17" s="8" t="s">
        <v>114</v>
      </c>
      <c r="N17" s="6" t="s">
        <v>115</v>
      </c>
      <c r="O17" s="9" t="s">
        <v>129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5"/>
      <c r="B20" s="13"/>
      <c r="C20" s="14"/>
      <c r="D20" s="14"/>
      <c r="E20" s="5"/>
      <c r="F20" s="14"/>
      <c r="G20" s="14"/>
      <c r="H20" s="14"/>
      <c r="I20" s="15"/>
      <c r="J20" s="16"/>
      <c r="K20" s="15"/>
      <c r="L20" s="15"/>
      <c r="M20" s="14"/>
      <c r="N20" s="14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5"/>
      <c r="B21" s="13"/>
      <c r="C21" s="14"/>
      <c r="D21" s="14"/>
      <c r="E21" s="14"/>
      <c r="F21" s="14"/>
      <c r="G21" s="14"/>
      <c r="H21" s="14"/>
      <c r="I21" s="15"/>
      <c r="J21" s="16"/>
      <c r="K21" s="15"/>
      <c r="L21" s="15"/>
      <c r="M21" s="18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 t="s">
        <v>116</v>
      </c>
      <c r="N22" s="14"/>
      <c r="O22" s="1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5"/>
      <c r="C23" s="5"/>
      <c r="D23" s="5"/>
      <c r="E23" s="5"/>
      <c r="F23" s="5"/>
      <c r="G23" s="5"/>
      <c r="H23" s="5"/>
      <c r="I23" s="20"/>
      <c r="J23" s="20"/>
      <c r="K23" s="21"/>
      <c r="L23" s="20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20"/>
      <c r="J24" s="20"/>
      <c r="K24" s="21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18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2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5"/>
      <c r="I28" s="20"/>
      <c r="J28" s="20"/>
      <c r="K28" s="22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5"/>
      <c r="K32" s="21" t="s">
        <v>22</v>
      </c>
      <c r="L32" s="21" t="s">
        <v>23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21" t="s">
        <v>41</v>
      </c>
      <c r="L33" s="21" t="s">
        <v>117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21" t="s">
        <v>73</v>
      </c>
      <c r="L34" s="21" t="s">
        <v>118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/>
      <c r="L35" s="21" t="s">
        <v>119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20"/>
      <c r="K40" s="21"/>
      <c r="L40" s="20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</row>
    <row r="995" spans="1:26" ht="15" customHeight="1" x14ac:dyDescent="0.3"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</row>
    <row r="996" spans="1:26" ht="15" customHeight="1" x14ac:dyDescent="0.3"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</row>
    <row r="997" spans="1:26" ht="15" customHeight="1" x14ac:dyDescent="0.3"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</row>
    <row r="998" spans="1:26" ht="15" customHeight="1" x14ac:dyDescent="0.3"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</row>
    <row r="999" spans="1:26" ht="15" customHeight="1" x14ac:dyDescent="0.3"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</row>
    <row r="1000" spans="1:26" ht="15" customHeight="1" x14ac:dyDescent="0.3"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</row>
    <row r="1001" spans="1:26" ht="15" customHeight="1" x14ac:dyDescent="0.3"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</row>
    <row r="1002" spans="1:26" ht="15" customHeight="1" x14ac:dyDescent="0.3"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</row>
    <row r="1003" spans="1:26" ht="15" customHeight="1" x14ac:dyDescent="0.3"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</row>
  </sheetData>
  <mergeCells count="1">
    <mergeCell ref="B3:O3"/>
  </mergeCells>
  <conditionalFormatting sqref="K11:K15 K6:K7">
    <cfRule type="colorScale" priority="41">
      <colorScale>
        <cfvo type="min"/>
        <cfvo type="max"/>
        <color rgb="FFFFFFFF"/>
        <color rgb="FF57BB8A"/>
      </colorScale>
    </cfRule>
  </conditionalFormatting>
  <conditionalFormatting sqref="K16:K17">
    <cfRule type="colorScale" priority="50">
      <colorScale>
        <cfvo type="min"/>
        <cfvo type="max"/>
        <color rgb="FFFFFFFF"/>
        <color rgb="FF57BB8A"/>
      </colorScale>
    </cfRule>
  </conditionalFormatting>
  <conditionalFormatting sqref="L6:L17">
    <cfRule type="colorScale" priority="51">
      <colorScale>
        <cfvo type="min"/>
        <cfvo type="max"/>
        <color rgb="FF57BB8A"/>
        <color rgb="FFFFFFFF"/>
      </colorScale>
    </cfRule>
  </conditionalFormatting>
  <conditionalFormatting sqref="L14:L15 L7">
    <cfRule type="colorScale" priority="24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20:L22" xr:uid="{00000000-0002-0000-0000-000003000000}">
      <formula1>#REF!</formula1>
    </dataValidation>
    <dataValidation type="list" allowBlank="1" showErrorMessage="1" sqref="L6:L17" xr:uid="{00000000-0002-0000-0000-000000000000}">
      <formula1>$L$32:$L$35</formula1>
    </dataValidation>
    <dataValidation type="list" allowBlank="1" showErrorMessage="1" sqref="K6:K17" xr:uid="{00000000-0002-0000-0000-000001000000}">
      <formula1>$K$32:$K$34</formula1>
    </dataValidation>
    <dataValidation type="custom" allowBlank="1" showDropDown="1" sqref="J6:J17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opLeftCell="A9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99" t="s">
        <v>120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1:26" ht="9.75" customHeight="1" x14ac:dyDescent="0.2">
      <c r="A7" s="43"/>
      <c r="B7" s="43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9.75" customHeight="1" x14ac:dyDescent="0.25">
      <c r="B8" s="44"/>
      <c r="C8" s="45"/>
      <c r="D8" s="45"/>
      <c r="E8" s="45"/>
      <c r="F8" s="46"/>
      <c r="G8" s="47"/>
      <c r="H8" s="47"/>
      <c r="I8" s="47"/>
      <c r="J8" s="47"/>
      <c r="K8" s="47"/>
      <c r="L8" s="47"/>
      <c r="M8" s="47"/>
      <c r="N8" s="47"/>
      <c r="O8" s="47"/>
      <c r="P8" s="48"/>
      <c r="Q8" s="43"/>
    </row>
    <row r="9" spans="1:26" ht="30" customHeight="1" x14ac:dyDescent="0.2">
      <c r="B9" s="49"/>
      <c r="C9" s="26" t="s">
        <v>1</v>
      </c>
      <c r="D9" s="27"/>
      <c r="E9" s="97" t="s">
        <v>121</v>
      </c>
      <c r="F9" s="63"/>
      <c r="G9" s="27"/>
      <c r="H9" s="97" t="s">
        <v>11</v>
      </c>
      <c r="I9" s="63"/>
      <c r="J9" s="28"/>
      <c r="K9" s="28"/>
      <c r="L9" s="28"/>
      <c r="M9" s="28"/>
      <c r="N9" s="28"/>
      <c r="O9" s="28"/>
      <c r="P9" s="50"/>
      <c r="Q9" s="43"/>
    </row>
    <row r="10" spans="1:26" ht="30" customHeight="1" x14ac:dyDescent="0.2">
      <c r="B10" s="49"/>
      <c r="C10" s="29" t="s">
        <v>35</v>
      </c>
      <c r="D10" s="30"/>
      <c r="E10" s="98" t="str">
        <f>VLOOKUP(C10,'Formato descripción HU'!B6:O22,5,0)</f>
        <v>Administrador/Agricultor</v>
      </c>
      <c r="F10" s="63"/>
      <c r="G10" s="31"/>
      <c r="H10" s="98" t="str">
        <f>VLOOKUP(C10,'Formato descripción HU'!B6:O22,11,0)</f>
        <v>No iniciado</v>
      </c>
      <c r="I10" s="63"/>
      <c r="J10" s="31"/>
      <c r="K10" s="28"/>
      <c r="L10" s="28"/>
      <c r="M10" s="28"/>
      <c r="N10" s="28"/>
      <c r="O10" s="28"/>
      <c r="P10" s="50"/>
      <c r="Q10" s="43"/>
    </row>
    <row r="11" spans="1:26" ht="9.75" customHeight="1" x14ac:dyDescent="0.2">
      <c r="A11" s="43"/>
      <c r="B11" s="49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0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30" customHeight="1" x14ac:dyDescent="0.2">
      <c r="A12" s="43"/>
      <c r="B12" s="49"/>
      <c r="C12" s="26" t="s">
        <v>122</v>
      </c>
      <c r="D12" s="30"/>
      <c r="E12" s="97" t="s">
        <v>10</v>
      </c>
      <c r="F12" s="63"/>
      <c r="G12" s="31"/>
      <c r="H12" s="97" t="s">
        <v>123</v>
      </c>
      <c r="I12" s="63"/>
      <c r="J12" s="31"/>
      <c r="K12" s="33"/>
      <c r="L12" s="33"/>
      <c r="M12" s="28"/>
      <c r="N12" s="33"/>
      <c r="O12" s="33"/>
      <c r="P12" s="50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30" customHeight="1" x14ac:dyDescent="0.2">
      <c r="A13" s="43"/>
      <c r="B13" s="49"/>
      <c r="C13" s="29">
        <f>VLOOKUP('Historia de Usuario'!C10,'Formato descripción HU'!B6:O22,8,0)</f>
        <v>5</v>
      </c>
      <c r="D13" s="30"/>
      <c r="E13" s="98" t="str">
        <f>VLOOKUP(C10,'Formato descripción HU'!B6:O22,10,0)</f>
        <v xml:space="preserve">Media </v>
      </c>
      <c r="F13" s="63"/>
      <c r="G13" s="31"/>
      <c r="H13" s="98" t="str">
        <f>VLOOKUP(C10,'Formato descripción HU'!B6:O22,7,0)</f>
        <v>Alejandro Montufar</v>
      </c>
      <c r="I13" s="63"/>
      <c r="J13" s="31"/>
      <c r="K13" s="33"/>
      <c r="L13" s="33"/>
      <c r="M13" s="28"/>
      <c r="N13" s="33"/>
      <c r="O13" s="33"/>
      <c r="P13" s="50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9.75" customHeight="1" x14ac:dyDescent="0.2">
      <c r="A14" s="43"/>
      <c r="B14" s="49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0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9.5" customHeight="1" x14ac:dyDescent="0.2">
      <c r="A15" s="43"/>
      <c r="B15" s="49"/>
      <c r="C15" s="86" t="s">
        <v>124</v>
      </c>
      <c r="D15" s="84" t="str">
        <f>VLOOKUP(C10,'Formato descripción HU'!B6:O22,3,0)</f>
        <v>Recuperar el acceso a la cuenta mediante validación de identidad.</v>
      </c>
      <c r="E15" s="76"/>
      <c r="F15" s="34"/>
      <c r="G15" s="86" t="s">
        <v>125</v>
      </c>
      <c r="H15" s="84" t="str">
        <f>VLOOKUP(C10,'Formato descripción HU'!B6:O22,4,0)</f>
        <v>Permitir al usuario restablecer su contraseña de forma segura.</v>
      </c>
      <c r="I15" s="82"/>
      <c r="J15" s="76"/>
      <c r="K15" s="34"/>
      <c r="L15" s="86" t="s">
        <v>126</v>
      </c>
      <c r="M15" s="89" t="str">
        <f>VLOOKUP(C10,'Formato descripción HU'!B6:O22,6,0)</f>
        <v>Desarrollar una opción de recuperación de contraseña donde el usuario ingresará su correo electrónico registrado. El sistema verificará la existencia del usuario y enviará un enlace o código de recuperación para permitir el cambio de contraseña.</v>
      </c>
      <c r="N15" s="82"/>
      <c r="O15" s="76"/>
      <c r="P15" s="50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9.5" customHeight="1" x14ac:dyDescent="0.2">
      <c r="A16" s="43"/>
      <c r="B16" s="49"/>
      <c r="C16" s="87"/>
      <c r="D16" s="77"/>
      <c r="E16" s="78"/>
      <c r="F16" s="34"/>
      <c r="G16" s="87"/>
      <c r="H16" s="77"/>
      <c r="I16" s="65"/>
      <c r="J16" s="78"/>
      <c r="K16" s="34"/>
      <c r="L16" s="87"/>
      <c r="M16" s="77"/>
      <c r="N16" s="65"/>
      <c r="O16" s="78"/>
      <c r="P16" s="50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9.5" customHeight="1" x14ac:dyDescent="0.2">
      <c r="A17" s="43"/>
      <c r="B17" s="49"/>
      <c r="C17" s="88"/>
      <c r="D17" s="79"/>
      <c r="E17" s="80"/>
      <c r="F17" s="34"/>
      <c r="G17" s="88"/>
      <c r="H17" s="79"/>
      <c r="I17" s="83"/>
      <c r="J17" s="80"/>
      <c r="K17" s="34"/>
      <c r="L17" s="88"/>
      <c r="M17" s="79"/>
      <c r="N17" s="83"/>
      <c r="O17" s="80"/>
      <c r="P17" s="50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9.75" customHeight="1" x14ac:dyDescent="0.2">
      <c r="A18" s="43"/>
      <c r="B18" s="49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0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9.5" customHeight="1" x14ac:dyDescent="0.2">
      <c r="B19" s="49"/>
      <c r="C19" s="96" t="s">
        <v>127</v>
      </c>
      <c r="D19" s="76"/>
      <c r="E19" s="90" t="str">
        <f>VLOOKUP(C10,'Formato descripción HU'!B6:O22,14,0)</f>
        <v>Recuperar contraseña</v>
      </c>
      <c r="F19" s="91"/>
      <c r="G19" s="91"/>
      <c r="H19" s="91"/>
      <c r="I19" s="91"/>
      <c r="J19" s="91"/>
      <c r="K19" s="91"/>
      <c r="L19" s="91"/>
      <c r="M19" s="91"/>
      <c r="N19" s="91"/>
      <c r="O19" s="92"/>
      <c r="P19" s="50"/>
      <c r="Q19" s="43"/>
    </row>
    <row r="20" spans="1:26" ht="19.5" customHeight="1" x14ac:dyDescent="0.2">
      <c r="B20" s="49"/>
      <c r="C20" s="79"/>
      <c r="D20" s="80"/>
      <c r="E20" s="93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50"/>
      <c r="Q20" s="43"/>
    </row>
    <row r="21" spans="1:26" ht="9.75" customHeight="1" x14ac:dyDescent="0.2">
      <c r="B21" s="4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0"/>
      <c r="Q21" s="43"/>
    </row>
    <row r="22" spans="1:26" ht="19.5" customHeight="1" x14ac:dyDescent="0.2">
      <c r="A22" s="43"/>
      <c r="B22" s="49"/>
      <c r="C22" s="75" t="s">
        <v>128</v>
      </c>
      <c r="D22" s="76"/>
      <c r="E22" s="81" t="str">
        <f>VLOOKUP(C10,'Formato descripción HU'!B6:O22,12,0)</f>
        <v>Solicitar recuperación con correo válido y verificar envío de enlace/código. Intentar con correo no registrado y validar mensaje de error.</v>
      </c>
      <c r="F22" s="82"/>
      <c r="G22" s="82"/>
      <c r="H22" s="76"/>
      <c r="I22" s="28"/>
      <c r="J22" s="75" t="s">
        <v>13</v>
      </c>
      <c r="K22" s="76"/>
      <c r="L22" s="84" t="str">
        <f>VLOOKUP(C10,'Formato descripción HU'!B6:O22,13,0)</f>
        <v>El enlace de recuperación debe ser temporal para seguridad del sistema.</v>
      </c>
      <c r="M22" s="82"/>
      <c r="N22" s="82"/>
      <c r="O22" s="76"/>
      <c r="P22" s="50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9.5" customHeight="1" x14ac:dyDescent="0.2">
      <c r="A23" s="43"/>
      <c r="B23" s="49"/>
      <c r="C23" s="77"/>
      <c r="D23" s="78"/>
      <c r="E23" s="77"/>
      <c r="F23" s="65"/>
      <c r="G23" s="65"/>
      <c r="H23" s="78"/>
      <c r="I23" s="28"/>
      <c r="J23" s="77"/>
      <c r="K23" s="78"/>
      <c r="L23" s="77"/>
      <c r="M23" s="65"/>
      <c r="N23" s="65"/>
      <c r="O23" s="78"/>
      <c r="P23" s="50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9.5" customHeight="1" x14ac:dyDescent="0.2">
      <c r="A24" s="43"/>
      <c r="B24" s="49"/>
      <c r="C24" s="79"/>
      <c r="D24" s="80"/>
      <c r="E24" s="79"/>
      <c r="F24" s="83"/>
      <c r="G24" s="83"/>
      <c r="H24" s="80"/>
      <c r="I24" s="28"/>
      <c r="J24" s="79"/>
      <c r="K24" s="80"/>
      <c r="L24" s="79"/>
      <c r="M24" s="83"/>
      <c r="N24" s="83"/>
      <c r="O24" s="80"/>
      <c r="P24" s="50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9.75" customHeight="1" x14ac:dyDescent="0.2">
      <c r="A25" s="43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9.5" customHeight="1" x14ac:dyDescent="0.25">
      <c r="C26" s="23"/>
      <c r="D26" s="23"/>
      <c r="E26" s="23"/>
      <c r="F26" s="24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1" x14ac:dyDescent="0.2">
      <c r="A27" s="43"/>
      <c r="B27" s="8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9.5" customHeight="1" x14ac:dyDescent="0.2">
      <c r="A28" s="43"/>
      <c r="B28" s="4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9.5" customHeight="1" x14ac:dyDescent="0.25">
      <c r="B29" s="43"/>
      <c r="C29" s="23"/>
      <c r="D29" s="23"/>
      <c r="E29" s="23"/>
      <c r="F29" s="2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9.5" customHeight="1" x14ac:dyDescent="0.2">
      <c r="B30" s="43"/>
      <c r="C30" s="55"/>
      <c r="D30" s="38"/>
      <c r="E30" s="68"/>
      <c r="F30" s="65"/>
      <c r="G30" s="38"/>
      <c r="H30" s="68"/>
      <c r="I30" s="65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9.5" customHeight="1" x14ac:dyDescent="0.2">
      <c r="A31" s="43"/>
      <c r="B31" s="43"/>
      <c r="C31" s="55"/>
      <c r="D31" s="39"/>
      <c r="E31" s="68"/>
      <c r="F31" s="65"/>
      <c r="G31" s="40"/>
      <c r="H31" s="68"/>
      <c r="I31" s="65"/>
      <c r="J31" s="40"/>
      <c r="K31" s="57"/>
      <c r="L31" s="57"/>
      <c r="M31" s="43"/>
      <c r="N31" s="57"/>
      <c r="O31" s="57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9.5" customHeight="1" x14ac:dyDescent="0.2">
      <c r="A32" s="43"/>
      <c r="B32" s="43"/>
      <c r="C32" s="56"/>
      <c r="D32" s="39"/>
      <c r="E32" s="66"/>
      <c r="F32" s="65"/>
      <c r="G32" s="40"/>
      <c r="H32" s="66"/>
      <c r="I32" s="65"/>
      <c r="J32" s="40"/>
      <c r="K32" s="57"/>
      <c r="L32" s="57"/>
      <c r="M32" s="43"/>
      <c r="N32" s="57"/>
      <c r="O32" s="57"/>
      <c r="P32" s="43"/>
    </row>
    <row r="33" spans="1:16" ht="19.5" customHeight="1" x14ac:dyDescent="0.2">
      <c r="A33" s="43"/>
      <c r="B33" s="43"/>
      <c r="C33" s="43"/>
      <c r="D33" s="39"/>
      <c r="E33" s="43"/>
      <c r="F33" s="43"/>
      <c r="G33" s="40"/>
      <c r="H33" s="40"/>
      <c r="I33" s="43"/>
      <c r="J33" s="43"/>
      <c r="K33" s="43"/>
      <c r="L33" s="43"/>
      <c r="M33" s="43"/>
      <c r="N33" s="43"/>
      <c r="O33" s="43"/>
      <c r="P33" s="43"/>
    </row>
    <row r="34" spans="1:16" ht="19.5" customHeight="1" x14ac:dyDescent="0.2">
      <c r="A34" s="43"/>
      <c r="B34" s="43"/>
      <c r="C34" s="68"/>
      <c r="D34" s="69"/>
      <c r="E34" s="65"/>
      <c r="F34" s="41"/>
      <c r="G34" s="68"/>
      <c r="H34" s="69"/>
      <c r="I34" s="65"/>
      <c r="J34" s="65"/>
      <c r="K34" s="41"/>
      <c r="L34" s="68"/>
      <c r="M34" s="73"/>
      <c r="N34" s="65"/>
      <c r="O34" s="65"/>
      <c r="P34" s="43"/>
    </row>
    <row r="35" spans="1:16" ht="19.5" customHeight="1" x14ac:dyDescent="0.2">
      <c r="A35" s="43"/>
      <c r="B35" s="43"/>
      <c r="C35" s="65"/>
      <c r="D35" s="65"/>
      <c r="E35" s="65"/>
      <c r="F35" s="41"/>
      <c r="G35" s="65"/>
      <c r="H35" s="65"/>
      <c r="I35" s="65"/>
      <c r="J35" s="65"/>
      <c r="K35" s="41"/>
      <c r="L35" s="65"/>
      <c r="M35" s="65"/>
      <c r="N35" s="65"/>
      <c r="O35" s="65"/>
      <c r="P35" s="43"/>
    </row>
    <row r="36" spans="1:16" ht="19.5" customHeight="1" x14ac:dyDescent="0.2">
      <c r="A36" s="43"/>
      <c r="B36" s="43"/>
      <c r="C36" s="65"/>
      <c r="D36" s="65"/>
      <c r="E36" s="65"/>
      <c r="F36" s="41"/>
      <c r="G36" s="65"/>
      <c r="H36" s="65"/>
      <c r="I36" s="65"/>
      <c r="J36" s="65"/>
      <c r="K36" s="41"/>
      <c r="L36" s="65"/>
      <c r="M36" s="65"/>
      <c r="N36" s="65"/>
      <c r="O36" s="65"/>
      <c r="P36" s="43"/>
    </row>
    <row r="37" spans="1:16" ht="19.5" customHeight="1" x14ac:dyDescent="0.2">
      <c r="A37" s="43"/>
      <c r="B37" s="43"/>
      <c r="C37" s="43"/>
      <c r="D37" s="43"/>
      <c r="E37" s="43"/>
      <c r="F37" s="43"/>
      <c r="G37" s="40"/>
      <c r="H37" s="40"/>
      <c r="I37" s="40"/>
      <c r="J37" s="43"/>
      <c r="K37" s="43"/>
      <c r="L37" s="43"/>
      <c r="M37" s="43"/>
      <c r="N37" s="43"/>
      <c r="O37" s="43"/>
      <c r="P37" s="43"/>
    </row>
    <row r="38" spans="1:16" ht="19.5" customHeight="1" x14ac:dyDescent="0.2">
      <c r="B38" s="43"/>
      <c r="C38" s="72"/>
      <c r="D38" s="65"/>
      <c r="E38" s="7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43"/>
    </row>
    <row r="39" spans="1:16" ht="19.5" customHeight="1" x14ac:dyDescent="0.2">
      <c r="B39" s="43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43"/>
    </row>
    <row r="40" spans="1:16" ht="19.5" customHeight="1" x14ac:dyDescent="0.2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spans="1:16" ht="19.5" customHeight="1" x14ac:dyDescent="0.2">
      <c r="A41" s="43"/>
      <c r="B41" s="43"/>
      <c r="C41" s="68"/>
      <c r="D41" s="65"/>
      <c r="E41" s="71"/>
      <c r="F41" s="65"/>
      <c r="G41" s="65"/>
      <c r="H41" s="65"/>
      <c r="I41" s="43"/>
      <c r="J41" s="68"/>
      <c r="K41" s="65"/>
      <c r="L41" s="69"/>
      <c r="M41" s="65"/>
      <c r="N41" s="65"/>
      <c r="O41" s="65"/>
      <c r="P41" s="43"/>
    </row>
    <row r="42" spans="1:16" ht="19.5" customHeight="1" x14ac:dyDescent="0.2">
      <c r="A42" s="43"/>
      <c r="B42" s="43"/>
      <c r="C42" s="65"/>
      <c r="D42" s="65"/>
      <c r="E42" s="65"/>
      <c r="F42" s="65"/>
      <c r="G42" s="65"/>
      <c r="H42" s="65"/>
      <c r="I42" s="43"/>
      <c r="J42" s="65"/>
      <c r="K42" s="65"/>
      <c r="L42" s="65"/>
      <c r="M42" s="65"/>
      <c r="N42" s="65"/>
      <c r="O42" s="65"/>
      <c r="P42" s="43"/>
    </row>
    <row r="43" spans="1:16" ht="19.5" customHeight="1" x14ac:dyDescent="0.2">
      <c r="A43" s="43"/>
      <c r="B43" s="43"/>
      <c r="C43" s="65"/>
      <c r="D43" s="65"/>
      <c r="E43" s="65"/>
      <c r="F43" s="65"/>
      <c r="G43" s="65"/>
      <c r="H43" s="65"/>
      <c r="I43" s="43"/>
      <c r="J43" s="65"/>
      <c r="K43" s="65"/>
      <c r="L43" s="65"/>
      <c r="M43" s="65"/>
      <c r="N43" s="65"/>
      <c r="O43" s="65"/>
      <c r="P43" s="43"/>
    </row>
    <row r="44" spans="1:16" ht="19.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1:16" ht="19.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ht="19.5" customHeight="1" x14ac:dyDescent="0.35">
      <c r="A46" s="43"/>
      <c r="B46" s="70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spans="1:16" ht="19.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</row>
    <row r="48" spans="1:16" ht="19.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6" ht="19.5" customHeight="1" x14ac:dyDescent="0.25">
      <c r="A49" s="43"/>
      <c r="B49" s="43"/>
      <c r="C49" s="53"/>
      <c r="D49" s="43"/>
      <c r="E49" s="67"/>
      <c r="F49" s="65"/>
      <c r="G49" s="43"/>
      <c r="H49" s="67"/>
      <c r="I49" s="65"/>
      <c r="J49" s="43"/>
      <c r="K49" s="43"/>
      <c r="L49" s="43"/>
      <c r="M49" s="43"/>
      <c r="N49" s="43"/>
      <c r="O49" s="43"/>
      <c r="P49" s="43"/>
    </row>
    <row r="50" spans="1:16" ht="19.5" customHeight="1" x14ac:dyDescent="0.25">
      <c r="A50" s="43"/>
      <c r="B50" s="43"/>
      <c r="C50" s="54"/>
      <c r="D50" s="43"/>
      <c r="E50" s="64"/>
      <c r="F50" s="65"/>
      <c r="G50" s="43"/>
      <c r="H50" s="66"/>
      <c r="I50" s="65"/>
      <c r="J50" s="43"/>
      <c r="K50" s="43"/>
      <c r="L50" s="43"/>
      <c r="M50" s="43"/>
      <c r="N50" s="43"/>
      <c r="O50" s="43"/>
      <c r="P50" s="43"/>
    </row>
    <row r="51" spans="1:16" ht="19.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 ht="19.5" customHeight="1" x14ac:dyDescent="0.25">
      <c r="A52" s="43"/>
      <c r="B52" s="43"/>
      <c r="C52" s="53"/>
      <c r="D52" s="43"/>
      <c r="E52" s="67"/>
      <c r="F52" s="65"/>
      <c r="G52" s="43"/>
      <c r="H52" s="67"/>
      <c r="I52" s="65"/>
      <c r="J52" s="43"/>
      <c r="K52" s="43"/>
      <c r="L52" s="43"/>
      <c r="M52" s="43"/>
      <c r="N52" s="43"/>
      <c r="O52" s="43"/>
      <c r="P52" s="43"/>
    </row>
    <row r="53" spans="1:16" ht="15.75" customHeight="1" x14ac:dyDescent="0.25">
      <c r="A53" s="43"/>
      <c r="B53" s="43"/>
      <c r="C53" s="54"/>
      <c r="D53" s="43"/>
      <c r="E53" s="64"/>
      <c r="F53" s="65"/>
      <c r="G53" s="43"/>
      <c r="H53" s="64"/>
      <c r="I53" s="65"/>
      <c r="J53" s="43"/>
      <c r="K53" s="43"/>
      <c r="L53" s="43"/>
      <c r="M53" s="43"/>
      <c r="N53" s="43"/>
      <c r="O53" s="43"/>
      <c r="P53" s="43"/>
    </row>
    <row r="54" spans="1:16" ht="15.7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</row>
    <row r="55" spans="1:16" ht="15.75" customHeight="1" x14ac:dyDescent="0.2">
      <c r="A55" s="43"/>
      <c r="B55" s="43"/>
      <c r="C55" s="67"/>
      <c r="D55" s="69"/>
      <c r="E55" s="65"/>
      <c r="F55" s="43"/>
      <c r="G55" s="67"/>
      <c r="H55" s="105"/>
      <c r="I55" s="65"/>
      <c r="J55" s="65"/>
      <c r="K55" s="43"/>
      <c r="L55" s="67"/>
      <c r="M55" s="106"/>
      <c r="N55" s="65"/>
      <c r="O55" s="65"/>
      <c r="P55" s="43"/>
    </row>
    <row r="56" spans="1:16" ht="15.75" customHeight="1" x14ac:dyDescent="0.2">
      <c r="A56" s="43"/>
      <c r="B56" s="43"/>
      <c r="C56" s="65"/>
      <c r="D56" s="65"/>
      <c r="E56" s="65"/>
      <c r="F56" s="43"/>
      <c r="G56" s="65"/>
      <c r="H56" s="65"/>
      <c r="I56" s="65"/>
      <c r="J56" s="65"/>
      <c r="K56" s="43"/>
      <c r="L56" s="65"/>
      <c r="M56" s="65"/>
      <c r="N56" s="65"/>
      <c r="O56" s="65"/>
      <c r="P56" s="43"/>
    </row>
    <row r="57" spans="1:16" ht="15.75" customHeight="1" x14ac:dyDescent="0.2">
      <c r="A57" s="43"/>
      <c r="B57" s="43"/>
      <c r="C57" s="65"/>
      <c r="D57" s="65"/>
      <c r="E57" s="65"/>
      <c r="F57" s="43"/>
      <c r="G57" s="65"/>
      <c r="H57" s="65"/>
      <c r="I57" s="65"/>
      <c r="J57" s="65"/>
      <c r="K57" s="43"/>
      <c r="L57" s="65"/>
      <c r="M57" s="65"/>
      <c r="N57" s="65"/>
      <c r="O57" s="65"/>
      <c r="P57" s="43"/>
    </row>
    <row r="58" spans="1:16" ht="15.7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 ht="15.75" customHeight="1" x14ac:dyDescent="0.2">
      <c r="A59" s="43"/>
      <c r="B59" s="43"/>
      <c r="C59" s="103"/>
      <c r="D59" s="65"/>
      <c r="E59" s="104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43"/>
    </row>
    <row r="60" spans="1:16" ht="15.75" customHeight="1" x14ac:dyDescent="0.2">
      <c r="A60" s="43"/>
      <c r="B60" s="43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43"/>
    </row>
    <row r="61" spans="1:16" ht="15.7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 ht="15.75" customHeight="1" x14ac:dyDescent="0.2">
      <c r="A62" s="43"/>
      <c r="B62" s="43"/>
      <c r="C62" s="67"/>
      <c r="D62" s="65"/>
      <c r="E62" s="107"/>
      <c r="F62" s="65"/>
      <c r="G62" s="65"/>
      <c r="H62" s="65"/>
      <c r="I62" s="43"/>
      <c r="J62" s="67"/>
      <c r="K62" s="65"/>
      <c r="L62" s="109"/>
      <c r="M62" s="65"/>
      <c r="N62" s="65"/>
      <c r="O62" s="65"/>
      <c r="P62" s="43"/>
    </row>
    <row r="63" spans="1:16" ht="15.75" customHeight="1" x14ac:dyDescent="0.2">
      <c r="A63" s="43"/>
      <c r="B63" s="43"/>
      <c r="C63" s="65"/>
      <c r="D63" s="65"/>
      <c r="E63" s="65"/>
      <c r="F63" s="65"/>
      <c r="G63" s="65"/>
      <c r="H63" s="65"/>
      <c r="I63" s="43"/>
      <c r="J63" s="65"/>
      <c r="K63" s="65"/>
      <c r="L63" s="65"/>
      <c r="M63" s="65"/>
      <c r="N63" s="65"/>
      <c r="O63" s="65"/>
      <c r="P63" s="43"/>
    </row>
    <row r="64" spans="1:16" ht="15.75" customHeight="1" x14ac:dyDescent="0.2">
      <c r="A64" s="43"/>
      <c r="B64" s="43"/>
      <c r="C64" s="65"/>
      <c r="D64" s="65"/>
      <c r="E64" s="65"/>
      <c r="F64" s="65"/>
      <c r="G64" s="65"/>
      <c r="H64" s="65"/>
      <c r="I64" s="43"/>
      <c r="J64" s="65"/>
      <c r="K64" s="65"/>
      <c r="L64" s="65"/>
      <c r="M64" s="65"/>
      <c r="N64" s="65"/>
      <c r="O64" s="65"/>
      <c r="P64" s="43"/>
    </row>
    <row r="65" spans="1:16" ht="15.7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15.75" customHeight="1" x14ac:dyDescent="0.2"/>
    <row r="67" spans="1:16" ht="9.75" customHeight="1" x14ac:dyDescent="0.35">
      <c r="A67" s="43"/>
      <c r="B67" s="70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</row>
    <row r="68" spans="1:16" ht="27" customHeight="1" x14ac:dyDescent="0.35">
      <c r="A68" s="43"/>
      <c r="B68" s="70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 spans="1:16" ht="15.7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 ht="15.7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 ht="15.75" customHeight="1" x14ac:dyDescent="0.25">
      <c r="A71" s="43"/>
      <c r="B71" s="43"/>
      <c r="C71" s="53"/>
      <c r="D71" s="43"/>
      <c r="E71" s="67"/>
      <c r="F71" s="65"/>
      <c r="G71" s="43"/>
      <c r="H71" s="67"/>
      <c r="I71" s="65"/>
      <c r="J71" s="43"/>
      <c r="K71" s="43"/>
      <c r="L71" s="43"/>
      <c r="M71" s="43"/>
      <c r="N71" s="43"/>
      <c r="O71" s="43"/>
      <c r="P71" s="43"/>
    </row>
    <row r="72" spans="1:16" ht="15.75" customHeight="1" x14ac:dyDescent="0.25">
      <c r="A72" s="43"/>
      <c r="B72" s="43"/>
      <c r="C72" s="53"/>
      <c r="D72" s="43"/>
      <c r="E72" s="67"/>
      <c r="F72" s="65"/>
      <c r="G72" s="43"/>
      <c r="H72" s="67"/>
      <c r="I72" s="65"/>
      <c r="J72" s="43"/>
      <c r="K72" s="43"/>
      <c r="L72" s="43"/>
      <c r="M72" s="43"/>
      <c r="N72" s="43"/>
      <c r="O72" s="43"/>
      <c r="P72" s="43"/>
    </row>
    <row r="73" spans="1:16" ht="15.75" customHeight="1" x14ac:dyDescent="0.25">
      <c r="A73" s="43"/>
      <c r="B73" s="43"/>
      <c r="C73" s="54"/>
      <c r="D73" s="43"/>
      <c r="E73" s="64"/>
      <c r="F73" s="65"/>
      <c r="G73" s="43"/>
      <c r="H73" s="64"/>
      <c r="I73" s="65"/>
      <c r="J73" s="43"/>
      <c r="K73" s="43"/>
      <c r="L73" s="43"/>
      <c r="M73" s="43"/>
      <c r="N73" s="43"/>
      <c r="O73" s="43"/>
      <c r="P73" s="43"/>
    </row>
    <row r="74" spans="1:16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 ht="15.75" customHeight="1" x14ac:dyDescent="0.2">
      <c r="A75" s="43"/>
      <c r="B75" s="43"/>
      <c r="C75" s="67"/>
      <c r="D75" s="108"/>
      <c r="E75" s="65"/>
      <c r="F75" s="43"/>
      <c r="G75" s="67"/>
      <c r="H75" s="105"/>
      <c r="I75" s="65"/>
      <c r="J75" s="65"/>
      <c r="K75" s="43"/>
      <c r="L75" s="67"/>
      <c r="M75" s="106"/>
      <c r="N75" s="65"/>
      <c r="O75" s="65"/>
      <c r="P75" s="43"/>
    </row>
    <row r="76" spans="1:16" ht="15.75" customHeight="1" x14ac:dyDescent="0.2">
      <c r="A76" s="43"/>
      <c r="B76" s="43"/>
      <c r="C76" s="65"/>
      <c r="D76" s="65"/>
      <c r="E76" s="65"/>
      <c r="F76" s="43"/>
      <c r="G76" s="65"/>
      <c r="H76" s="65"/>
      <c r="I76" s="65"/>
      <c r="J76" s="65"/>
      <c r="K76" s="43"/>
      <c r="L76" s="65"/>
      <c r="M76" s="65"/>
      <c r="N76" s="65"/>
      <c r="O76" s="65"/>
      <c r="P76" s="43"/>
    </row>
    <row r="77" spans="1:16" ht="15.75" customHeight="1" x14ac:dyDescent="0.2">
      <c r="A77" s="43"/>
      <c r="B77" s="43"/>
      <c r="C77" s="65"/>
      <c r="D77" s="65"/>
      <c r="E77" s="65"/>
      <c r="F77" s="43"/>
      <c r="G77" s="65"/>
      <c r="H77" s="65"/>
      <c r="I77" s="65"/>
      <c r="J77" s="65"/>
      <c r="K77" s="43"/>
      <c r="L77" s="65"/>
      <c r="M77" s="65"/>
      <c r="N77" s="65"/>
      <c r="O77" s="65"/>
      <c r="P77" s="43"/>
    </row>
    <row r="78" spans="1:16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 ht="15.75" customHeight="1" x14ac:dyDescent="0.2">
      <c r="A79" s="43"/>
      <c r="B79" s="43"/>
      <c r="C79" s="103"/>
      <c r="D79" s="65"/>
      <c r="E79" s="104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43"/>
    </row>
    <row r="80" spans="1:16" ht="15.75" customHeight="1" x14ac:dyDescent="0.2">
      <c r="A80" s="43"/>
      <c r="B80" s="43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43"/>
    </row>
    <row r="81" spans="1:16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 ht="15.75" customHeight="1" x14ac:dyDescent="0.2">
      <c r="A82" s="43"/>
      <c r="B82" s="43"/>
      <c r="C82" s="67"/>
      <c r="D82" s="65"/>
      <c r="E82" s="107"/>
      <c r="F82" s="65"/>
      <c r="G82" s="65"/>
      <c r="H82" s="65"/>
      <c r="I82" s="43"/>
      <c r="J82" s="67"/>
      <c r="K82" s="65"/>
      <c r="L82" s="101"/>
      <c r="M82" s="65"/>
      <c r="N82" s="65"/>
      <c r="O82" s="65"/>
      <c r="P82" s="43"/>
    </row>
    <row r="83" spans="1:16" ht="15.75" customHeight="1" x14ac:dyDescent="0.2">
      <c r="A83" s="43"/>
      <c r="B83" s="43"/>
      <c r="C83" s="65"/>
      <c r="D83" s="65"/>
      <c r="E83" s="65"/>
      <c r="F83" s="65"/>
      <c r="G83" s="65"/>
      <c r="H83" s="65"/>
      <c r="I83" s="43"/>
      <c r="J83" s="65"/>
      <c r="K83" s="65"/>
      <c r="L83" s="65"/>
      <c r="M83" s="65"/>
      <c r="N83" s="65"/>
      <c r="O83" s="65"/>
      <c r="P83" s="43"/>
    </row>
    <row r="84" spans="1:16" ht="15.75" customHeight="1" x14ac:dyDescent="0.2">
      <c r="A84" s="43"/>
      <c r="B84" s="43"/>
      <c r="C84" s="65"/>
      <c r="D84" s="65"/>
      <c r="E84" s="65"/>
      <c r="F84" s="65"/>
      <c r="G84" s="65"/>
      <c r="H84" s="65"/>
      <c r="I84" s="43"/>
      <c r="J84" s="65"/>
      <c r="K84" s="65"/>
      <c r="L84" s="65"/>
      <c r="M84" s="65"/>
      <c r="N84" s="65"/>
      <c r="O84" s="65"/>
      <c r="P84" s="43"/>
    </row>
    <row r="85" spans="1:16" ht="15.75" customHeight="1" x14ac:dyDescent="0.2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 ht="15.75" customHeight="1" x14ac:dyDescent="0.2">
      <c r="A86" s="43"/>
    </row>
    <row r="87" spans="1:16" ht="21" x14ac:dyDescent="0.35">
      <c r="A87" s="43"/>
      <c r="B87" s="70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 spans="1:16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 ht="15.75" customHeight="1" x14ac:dyDescent="0.25">
      <c r="A90" s="43"/>
      <c r="B90" s="43"/>
      <c r="C90" s="53"/>
      <c r="D90" s="43"/>
      <c r="E90" s="67"/>
      <c r="F90" s="65"/>
      <c r="G90" s="43"/>
      <c r="H90" s="67"/>
      <c r="I90" s="65"/>
      <c r="J90" s="43"/>
      <c r="K90" s="43"/>
      <c r="L90" s="43"/>
      <c r="M90" s="43"/>
      <c r="N90" s="43"/>
      <c r="O90" s="43"/>
      <c r="P90" s="43"/>
    </row>
    <row r="91" spans="1:16" ht="15.75" customHeight="1" x14ac:dyDescent="0.25">
      <c r="A91" s="43"/>
      <c r="B91" s="43"/>
      <c r="C91" s="54"/>
      <c r="D91" s="43"/>
      <c r="E91" s="64"/>
      <c r="F91" s="65"/>
      <c r="G91" s="43"/>
      <c r="H91" s="64"/>
      <c r="I91" s="65"/>
      <c r="J91" s="43"/>
      <c r="K91" s="43"/>
      <c r="L91" s="43"/>
      <c r="M91" s="43"/>
      <c r="N91" s="43"/>
      <c r="O91" s="43"/>
      <c r="P91" s="43"/>
    </row>
    <row r="92" spans="1:16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 ht="15.75" customHeight="1" x14ac:dyDescent="0.2">
      <c r="A93" s="43"/>
      <c r="B93" s="43"/>
      <c r="C93" s="67"/>
      <c r="D93" s="105"/>
      <c r="E93" s="65"/>
      <c r="F93" s="43"/>
      <c r="G93" s="67"/>
      <c r="H93" s="105"/>
      <c r="I93" s="65"/>
      <c r="J93" s="65"/>
      <c r="K93" s="43"/>
      <c r="L93" s="67"/>
      <c r="M93" s="102"/>
      <c r="N93" s="65"/>
      <c r="O93" s="65"/>
      <c r="P93" s="43"/>
    </row>
    <row r="94" spans="1:16" ht="15.75" customHeight="1" x14ac:dyDescent="0.2">
      <c r="A94" s="43"/>
      <c r="B94" s="43"/>
      <c r="C94" s="65"/>
      <c r="D94" s="65"/>
      <c r="E94" s="65"/>
      <c r="F94" s="43"/>
      <c r="G94" s="65"/>
      <c r="H94" s="65"/>
      <c r="I94" s="65"/>
      <c r="J94" s="65"/>
      <c r="K94" s="43"/>
      <c r="L94" s="65"/>
      <c r="M94" s="65"/>
      <c r="N94" s="65"/>
      <c r="O94" s="65"/>
      <c r="P94" s="43"/>
    </row>
    <row r="95" spans="1:16" ht="15.75" customHeight="1" x14ac:dyDescent="0.2">
      <c r="A95" s="43"/>
      <c r="B95" s="43"/>
      <c r="C95" s="65"/>
      <c r="D95" s="65"/>
      <c r="E95" s="65"/>
      <c r="F95" s="43"/>
      <c r="G95" s="65"/>
      <c r="H95" s="65"/>
      <c r="I95" s="65"/>
      <c r="J95" s="65"/>
      <c r="K95" s="43"/>
      <c r="L95" s="65"/>
      <c r="M95" s="65"/>
      <c r="N95" s="65"/>
      <c r="O95" s="65"/>
      <c r="P95" s="43"/>
    </row>
    <row r="96" spans="1:16" ht="15.7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</row>
    <row r="97" spans="1:16" ht="15.75" customHeight="1" x14ac:dyDescent="0.2">
      <c r="A97" s="43"/>
      <c r="B97" s="43"/>
      <c r="C97" s="103"/>
      <c r="D97" s="65"/>
      <c r="E97" s="104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43"/>
    </row>
    <row r="98" spans="1:16" ht="15.75" customHeight="1" x14ac:dyDescent="0.2">
      <c r="A98" s="43"/>
      <c r="B98" s="43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43"/>
    </row>
    <row r="99" spans="1:16" ht="15.75" customHeight="1" x14ac:dyDescent="0.2">
      <c r="A99" s="43"/>
      <c r="B99" s="43"/>
      <c r="C99" s="43"/>
      <c r="D99" s="43"/>
      <c r="E99" s="42"/>
      <c r="F99" s="42"/>
      <c r="G99" s="42"/>
      <c r="H99" s="42"/>
      <c r="I99" s="43"/>
      <c r="J99" s="43"/>
      <c r="K99" s="43"/>
      <c r="L99" s="43"/>
      <c r="M99" s="43"/>
      <c r="N99" s="43"/>
      <c r="O99" s="43"/>
      <c r="P99" s="43"/>
    </row>
    <row r="100" spans="1:16" ht="15.75" customHeight="1" x14ac:dyDescent="0.2">
      <c r="A100" s="43"/>
      <c r="B100" s="43"/>
      <c r="C100" s="67"/>
      <c r="D100" s="65"/>
      <c r="E100" s="100"/>
      <c r="F100" s="65"/>
      <c r="G100" s="65"/>
      <c r="H100" s="65"/>
      <c r="I100" s="43"/>
      <c r="J100" s="67"/>
      <c r="K100" s="65"/>
      <c r="L100" s="101"/>
      <c r="M100" s="65"/>
      <c r="N100" s="65"/>
      <c r="O100" s="65"/>
      <c r="P100" s="43"/>
    </row>
    <row r="101" spans="1:16" ht="15.75" customHeight="1" x14ac:dyDescent="0.2">
      <c r="A101" s="43"/>
      <c r="B101" s="43"/>
      <c r="C101" s="65"/>
      <c r="D101" s="65"/>
      <c r="E101" s="65"/>
      <c r="F101" s="65"/>
      <c r="G101" s="65"/>
      <c r="H101" s="65"/>
      <c r="I101" s="43"/>
      <c r="J101" s="65"/>
      <c r="K101" s="65"/>
      <c r="L101" s="65"/>
      <c r="M101" s="65"/>
      <c r="N101" s="65"/>
      <c r="O101" s="65"/>
      <c r="P101" s="43"/>
    </row>
    <row r="102" spans="1:16" ht="15.75" customHeight="1" x14ac:dyDescent="0.2">
      <c r="A102" s="43"/>
      <c r="B102" s="43"/>
      <c r="C102" s="65"/>
      <c r="D102" s="65"/>
      <c r="E102" s="65"/>
      <c r="F102" s="65"/>
      <c r="G102" s="65"/>
      <c r="H102" s="65"/>
      <c r="I102" s="43"/>
      <c r="J102" s="65"/>
      <c r="K102" s="65"/>
      <c r="L102" s="65"/>
      <c r="M102" s="65"/>
      <c r="N102" s="65"/>
      <c r="O102" s="65"/>
      <c r="P102" s="43"/>
    </row>
    <row r="103" spans="1:16" ht="15.75" customHeight="1" x14ac:dyDescent="0.2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 ht="15.75" customHeight="1" x14ac:dyDescent="0.2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 ht="15.75" customHeight="1" x14ac:dyDescent="0.35">
      <c r="B105" s="70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JR-HP</dc:creator>
  <cp:keywords/>
  <dc:description/>
  <cp:lastModifiedBy>Jerson Llumiquinga M.</cp:lastModifiedBy>
  <cp:revision/>
  <dcterms:created xsi:type="dcterms:W3CDTF">2019-10-21T15:37:14Z</dcterms:created>
  <dcterms:modified xsi:type="dcterms:W3CDTF">2026-06-17T23:03:12Z</dcterms:modified>
  <cp:category/>
  <cp:contentStatus/>
</cp:coreProperties>
</file>