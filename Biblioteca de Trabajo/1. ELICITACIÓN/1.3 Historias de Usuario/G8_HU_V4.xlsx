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Documents\IngenieriaSW\Programacion\0AreaTrabajo\"/>
    </mc:Choice>
  </mc:AlternateContent>
  <xr:revisionPtr revIDLastSave="0" documentId="13_ncr:1_{100E452F-DC87-4239-B334-C0A2C7BDE9A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E22" i="2" l="1"/>
  <c r="C13" i="2"/>
  <c r="L22" i="2"/>
  <c r="E19" i="2"/>
  <c r="M15" i="2"/>
  <c r="H15" i="2"/>
  <c r="D15" i="2"/>
  <c r="E13" i="2"/>
  <c r="H13" i="2"/>
  <c r="H10" i="2"/>
  <c r="E10" i="2"/>
</calcChain>
</file>

<file path=xl/sharedStrings.xml><?xml version="1.0" encoding="utf-8"?>
<sst xmlns="http://schemas.openxmlformats.org/spreadsheetml/2006/main" count="492" uniqueCount="333">
  <si>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</si>
  <si>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</si>
  <si>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</si>
  <si>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</si>
  <si>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</si>
  <si>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</si>
  <si>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</si>
  <si>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</si>
  <si>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</si>
  <si>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</si>
  <si>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</si>
  <si>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</si>
  <si>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</si>
  <si>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</si>
  <si>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</si>
  <si>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</si>
  <si>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requiere controlar el acceso general de usuarios.</t>
  </si>
  <si>
    <t>Gestionar el acceso al sistema.</t>
  </si>
  <si>
    <t>Permitir el ingreso y control de acceso según el rol del usuario.</t>
  </si>
  <si>
    <t>Administrador/Agricultor</t>
  </si>
  <si>
    <t>Se establecerá el flujo general de acceso al sistema, definiendo que solo usuarios autenticados pueden ingresar a las funcionalidades principales.</t>
  </si>
  <si>
    <t>Ariel Morrillo</t>
  </si>
  <si>
    <t>Alta</t>
  </si>
  <si>
    <t>No iniciado</t>
  </si>
  <si>
    <t>Verificar que usuarios no autenticados no puedan acceder a módulos internos del sistema.</t>
  </si>
  <si>
    <t>Requisito general del módulo de seguridad.</t>
  </si>
  <si>
    <t>Acceder al sistema</t>
  </si>
  <si>
    <t>REQ001.1</t>
  </si>
  <si>
    <t>El sistema necesita verificar la identidad de los usuarios.</t>
  </si>
  <si>
    <t>Autenticar credenciales de acceso.</t>
  </si>
  <si>
    <t>Validar usuarios mediante usuario y contraseña.</t>
  </si>
  <si>
    <t>Se implementará un formulario de autenticación donde el usuario ingresará sus credenciales, las cuales serán validadas contra la base de datos para permitir el acceso al sistema.</t>
  </si>
  <si>
    <t>Ingresar credenciales válidas e inválidas y verificar acceso o denegación.</t>
  </si>
  <si>
    <t>Proceso de autenticación individual del usuario.</t>
  </si>
  <si>
    <t>Iniciar sesión</t>
  </si>
  <si>
    <t>REQ001.2</t>
  </si>
  <si>
    <t>El usuario puede olvidar su contraseña y perder acceso al sistema.</t>
  </si>
  <si>
    <t>Recuperar el acceso a la cuenta mediante validación de identidad.</t>
  </si>
  <si>
    <t>Permitir al usuario restablecer su contraseña de forma segura.</t>
  </si>
  <si>
    <t>Desarrollar una opción de recuperación de contraseña donde el usuario ingresará su correo electrónico registrado. El sistema verificará la existencia del usuario y enviará un enlace o código de recuperación para permitir el cambio de contraseña.</t>
  </si>
  <si>
    <t>Alejandro Montufar</t>
  </si>
  <si>
    <t xml:space="preserve">Media </t>
  </si>
  <si>
    <t>Solicitar recuperación con correo válido y verificar envío de enlace/código. Intentar con correo no registrado y validar mensaje de error.</t>
  </si>
  <si>
    <t>El enlace de recuperación debe ser temporal para seguridad del sistema.</t>
  </si>
  <si>
    <t>Recuperar contraseña</t>
  </si>
  <si>
    <t>REQ002</t>
  </si>
  <si>
    <t>El usuario no puede personalizar ni actualizar su información de perfil dentro del sistema.</t>
  </si>
  <si>
    <t>Permitir la configuración y actualización de datos del perfil de usuario.</t>
  </si>
  <si>
    <t>Mantener actualizada la información personal y preferencias del usuario.</t>
  </si>
  <si>
    <t>Construir un módulo de configuración de perfil donde el usuario podrá visualizar y actualizar sus datos personales, como nombre, correo y preferencias del sistema. El sistema validará los cambios y los almacenará en la base de datos.</t>
  </si>
  <si>
    <t>Actualizar datos del perfil y verificar que los cambios se reflejen correctamente al recargar sesión. Intentar ingresar datos inválidos y validar mensajes de error.</t>
  </si>
  <si>
    <t>Los cambios deben persistirse en la base de datos y reflejarse en futuras sesiones.</t>
  </si>
  <si>
    <t>REQ002.1</t>
  </si>
  <si>
    <t>El usuario no puede actualizar su información personal una vez registrada.</t>
  </si>
  <si>
    <t>Permitir la actualización de datos personales del usuario.</t>
  </si>
  <si>
    <t>Mantener la información del usuario actualizada dentro del sistema.</t>
  </si>
  <si>
    <t>Se desarrollará una interfaz para edición de datos de perfil donde el usuario podrá modificar información como nombre, correo y otros datos personales. El sistema validará los cambios y los almacenará en la base de datos.</t>
  </si>
  <si>
    <t>Modificar datos del perfil y verificar que los cambios se reflejen correctamente en el sistema. Intentar ingresar datos inválidos y validar mensajes de error.</t>
  </si>
  <si>
    <t>Actualizar datos</t>
  </si>
  <si>
    <t>REQ002.2</t>
  </si>
  <si>
    <t>El usuario necesita cambiar su contraseña por seguridad o actualización.</t>
  </si>
  <si>
    <t>Permitir el cambio de contraseña del usuario autenticado.</t>
  </si>
  <si>
    <t>Mejorar la seguridad de la cuenta del usuario dentro del sistema.</t>
  </si>
  <si>
    <t>Se va a implementar una opción de cambio de contraseña donde el usuario ingresará su contraseña actual y una nueva contraseña. El sistema validará la contraseña actual y actualizará la nueva en la base de datos si cumple con los requisitos de seguridad.</t>
  </si>
  <si>
    <t>Jerson Llumiquinga M.</t>
  </si>
  <si>
    <t>Cambiar contraseña con datos válidos y verificar acceso posterior. Intentar con contraseña incorrecta y validar mensaje de error.</t>
  </si>
  <si>
    <t>La contraseña debe cumplir políticas mínimas de seguridad.</t>
  </si>
  <si>
    <t>Modificar contraseña</t>
  </si>
  <si>
    <t>REQ002.3</t>
  </si>
  <si>
    <t>El usuario no puede personalizar la apariencia y configuración del sistema según sus preferencias.</t>
  </si>
  <si>
    <t>Permitir la configuración de preferencias del usuario.</t>
  </si>
  <si>
    <t>Adaptar la interfaz del sistema a las necesidades del usuario.</t>
  </si>
  <si>
    <t>Se creará una sección de preferencias donde el usuario podrá seleccionar opciones como idioma y tema de la interfaz. El sistema aplicará los cambios y los almacenará para futuras sesiones.</t>
  </si>
  <si>
    <t>Baja</t>
  </si>
  <si>
    <t>Cambiar idioma o tema y verificar que los cambios se mantengan al cerrar y volver a ingresar al sistema.</t>
  </si>
  <si>
    <t>Las preferencias deben persistir entre sesiones del usuario.</t>
  </si>
  <si>
    <t>REQ003</t>
  </si>
  <si>
    <t>El sistema no cuenta con una gestión centralizada de agricultores registrados.</t>
  </si>
  <si>
    <t>Administrar la información de agricultores dentro del sistema.</t>
  </si>
  <si>
    <t>Permitir el control organizado de los registros de agricultores.</t>
  </si>
  <si>
    <t>Administrador</t>
  </si>
  <si>
    <t>Se desarrollará un módulo de gestión de agricultores que permita realizar operaciones de administración como creación, consulta, actualización y eliminación de registros.</t>
  </si>
  <si>
    <t>Verificar acceso al módulo y validación general de operaciones CRUD.</t>
  </si>
  <si>
    <t>Módulo base para operaciones de agricultores.</t>
  </si>
  <si>
    <t>Gestionar agricultores</t>
  </si>
  <si>
    <t>REQ003.1</t>
  </si>
  <si>
    <t>El sistema no permite registrar nuevos agricultores.</t>
  </si>
  <si>
    <t>Permitir el registro de agricultores en el sistema.</t>
  </si>
  <si>
    <t>Mantener actualizado el registro de agricultores.</t>
  </si>
  <si>
    <t>Se implementará un formulario de registro de agricultores donde se ingresarán datos personales como nombre, cédula y correo electrónico. El sistema validará los datos ingresados y los almacenará en la base de datos.</t>
  </si>
  <si>
    <t>Registrar un agricultor con datos válidos y verificar almacenamiento correcto. Intentar registrar datos duplicados y validar mensajes de error.</t>
  </si>
  <si>
    <t>Validación de unicidad de datos obligatorios.</t>
  </si>
  <si>
    <t>Crear agricultor</t>
  </si>
  <si>
    <t>REQ003.2</t>
  </si>
  <si>
    <t>El sistema no permite visualizar fácilmente los datos de agricultores registrados.</t>
  </si>
  <si>
    <t>Consultar información de agricultores.</t>
  </si>
  <si>
    <t>Facilitar el acceso a los registros almacenados.</t>
  </si>
  <si>
    <t>Construir una interfaz de consulta donde se podrá buscar agricultores por nombre o cédula. El sistema mostrará los datos correspondientes desde la base de datos.</t>
  </si>
  <si>
    <t>Buscar un agricultor por nombre o cédula y verificar que se muestre la información correcta.</t>
  </si>
  <si>
    <t>Búsqueda eficiente de registros.</t>
  </si>
  <si>
    <t>Consultar agricultor</t>
  </si>
  <si>
    <t>REQ003.3</t>
  </si>
  <si>
    <t>Los datos de los agricultores pueden quedar desactualizados.</t>
  </si>
  <si>
    <t>Modificar la información de agricultores.</t>
  </si>
  <si>
    <t>Mantener los registros actualizados dentro del sistema.</t>
  </si>
  <si>
    <t>Implementar una opción de edición de agricultores donde se podrán modificar datos existentes. El sistema permitirá actualizar la información y almacenarla en la base de datos.</t>
  </si>
  <si>
    <t>Modificar datos de un agricultor y verificar que los cambios se reflejen correctamente.</t>
  </si>
  <si>
    <t>Actualización de registros existentes.</t>
  </si>
  <si>
    <t>Editar agricultor</t>
  </si>
  <si>
    <t>REQ003.4</t>
  </si>
  <si>
    <t>El sistema puede mantener agricultores que ya no deben estar activos.</t>
  </si>
  <si>
    <t>Desactivar registros de agricultores.</t>
  </si>
  <si>
    <t>Mantener control sobre usuarios activos sin eliminar información histórica.</t>
  </si>
  <si>
    <t>Se desarrollará una funcionalidad para desactivar agricultores en lugar de eliminarlos. El sistema cambiará el estado del registro a inactivo y lo mantendrá en la base de datos.</t>
  </si>
  <si>
    <t>Desactivar un agricultor y verificar que no aparezca en listas activas.</t>
  </si>
  <si>
    <t>Se mantiene historial del agricultor.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</si>
  <si>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</si>
  <si>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</si>
  <si>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</si>
  <si>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</si>
  <si>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</si>
  <si>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</si>
  <si>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</si>
  <si>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</si>
  <si>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</si>
  <si>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</si>
  <si>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</si>
  <si>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</si>
  <si>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Desactivar agricultor</t>
  </si>
  <si>
    <t>Modificar preferencias de usuario</t>
  </si>
  <si>
    <t>Configurar perfil de usuario</t>
  </si>
  <si>
    <t>REQ004</t>
  </si>
  <si>
    <t>El sistema no dispone de un módulo para administrar los catálogos utilizados en las operaciones de la finca.</t>
  </si>
  <si>
    <t>Gestionar los catálogos del sistema.</t>
  </si>
  <si>
    <t>Mantener actualizada la información maestra utilizada en los procesos agrícolas.</t>
  </si>
  <si>
    <t>Se implementará un módulo de configuración de catálogos que permitirá administrar la información maestra del sistema, incluyendo lotes físicos, campañas de cultivo y clientes exportadores. El sistema almacenará y actualizará esta información para que pueda ser utilizada en los diferentes procesos de la aplicación.</t>
  </si>
  <si>
    <t>Acceder al módulo de catálogos y verificar que sea posible visualizar la información registrada y que esta se encuentre disponible para los demás módulos del sistema.</t>
  </si>
  <si>
    <t>Los catálogos deben mantenerse actualizados para garantizar la consistencia de la información utilizada en el sistema.</t>
  </si>
  <si>
    <t>REQ004.1</t>
  </si>
  <si>
    <t>El sistema no permite registrar y administrar las campañas de cultivo utilizadas en la finca.</t>
  </si>
  <si>
    <t>Gestionar las campañas de cultivo.</t>
  </si>
  <si>
    <t>Mantener un registro organizado de las campañas que serán utilizadas durante la producción agrícola.</t>
  </si>
  <si>
    <t>Se desarrollará una interfaz para registrar campañas de cultivo donde el administrador ingresará un código único, el color de la funda protectora, el comprador preasignado y el peso de tara de la gaveta. El sistema asignará automáticamente el peso estándar cuando corresponda, validará que el código no exista previamente y almacenará la información en la base de datos.</t>
  </si>
  <si>
    <t>Registrar una campaña con un código válido y verificar que quede almacenada correctamente. Intentar registrar una campaña con un código existente y comprobar que el sistema impida el registro mostrando el mensaje correspondiente.</t>
  </si>
  <si>
    <t>El código de campaña debe ser único para evitar duplicidad de registros y garantizar la correcta identificación de cada campaña.</t>
  </si>
  <si>
    <t>Gestionar campañas</t>
  </si>
  <si>
    <t>El sistema no permite registrar nuevas campañas de cultivo.</t>
  </si>
  <si>
    <t>REQ004.1.1</t>
  </si>
  <si>
    <t>Registrar campañas de cultivo.</t>
  </si>
  <si>
    <t>Mantener un registro actualizado de las campañas utilizadas en la producción agrícola.</t>
  </si>
  <si>
    <t>Se va a construir un formulario para el registro de campañas donde el administrador ingresará el código de la campaña, el color de la funda protectora, el comprador preasignado y el peso de tara de la gaveta. El sistema asignará el peso estándar cuando corresponda, validará que el código sea único y almacenará la información en la base de datos.</t>
  </si>
  <si>
    <t>Registrar una campaña con datos válidos y verificar que la información se almacene correctamente. Intentar registrar una campaña con un código existente y comprobar que el sistema impida el registro.</t>
  </si>
  <si>
    <t>Cada campaña debe identificarse mediante un código único para evitar registros duplicados y facilitar su gestión.</t>
  </si>
  <si>
    <t>Registrar campañas</t>
  </si>
  <si>
    <t>REQ004.1.2</t>
  </si>
  <si>
    <t>REQ004.1.3</t>
  </si>
  <si>
    <t>REQ004.1.4</t>
  </si>
  <si>
    <t>El sistema no permite visualizar la información de las campañas registradas.</t>
  </si>
  <si>
    <t>Consultar campañas de cultivo.</t>
  </si>
  <si>
    <t>Acceder rápidamente a la información de las campañas registradas.</t>
  </si>
  <si>
    <t>Se desarrollará una interfaz de consulta donde el administrador podrá visualizar las campañas registradas y buscar una campaña específica mediante su código u otros criterios disponibles. El sistema recuperará la información almacenada en la base de datos y la mostrará al usuario.</t>
  </si>
  <si>
    <t>Consultar una campaña registrada y verificar que la información mostrada corresponda con los datos almacenados en la base de datos.</t>
  </si>
  <si>
    <t>Consultar campañas</t>
  </si>
  <si>
    <t>Editar campañas</t>
  </si>
  <si>
    <t>El sistema no permite actualizar la información de las campañas registradas.</t>
  </si>
  <si>
    <t>Modificar la información de las campañas de cultivo.</t>
  </si>
  <si>
    <t>Se implementará una opción para editar la información de una campaña previamente registrada. El sistema validará los cambios realizados y actualizará la información correspondiente en la base de datos.</t>
  </si>
  <si>
    <t>Modificar los datos de una campaña y verificar que la información actualizada se refleje correctamente en el sistema.</t>
  </si>
  <si>
    <t>Las modificaciones realizadas deben conservar la integridad de la información registrada.</t>
  </si>
  <si>
    <t>La información consultada debe reflejar el estado actual de cada campaña.</t>
  </si>
  <si>
    <t>El sistema no permite finalizar campañas que ya han concluido.</t>
  </si>
  <si>
    <t>Cerrar campañas de cultivo.</t>
  </si>
  <si>
    <t>Evitar que campañas finalizadas continúen utilizándose en las operaciones del sistema.</t>
  </si>
  <si>
    <t>Se desarrollará una funcionalidad que permita cambiar el estado de una campaña a cerrada. El sistema actualizará el estado de la campaña en la base de datos e impedirá que sea utilizada para nuevos registros de producción.</t>
  </si>
  <si>
    <t>Cerrar una campaña y verificar que su estado cambie correctamente y que ya no pueda seleccionarse en nuevos registros de producción.</t>
  </si>
  <si>
    <t>Cerrar campañas</t>
  </si>
  <si>
    <t>REQ005</t>
  </si>
  <si>
    <t>REQ004.2</t>
  </si>
  <si>
    <t>El sistema no dispone de un módulo para administrar los lotes físicos de la finca.</t>
  </si>
  <si>
    <t>Gestionar los lotes físicos de la finca.</t>
  </si>
  <si>
    <t>Mantener actualizada la información de los lotes utilizados en los procesos agrícolas.</t>
  </si>
  <si>
    <t>Se implementará un módulo para la administración de lotes físicos donde el administrador podrá registrar, consultar y modificar la información de cada lote. El sistema almacenará la nomenclatura y descripción de cada lote en la base de datos, asegurando su disponibilidad para los diferentes módulos de la aplicación.</t>
  </si>
  <si>
    <t>Acceder al módulo de lotes y verificar que sea posible administrar los registros, comprobando que la información quede disponible para su selección en los procesos que la requieran.</t>
  </si>
  <si>
    <t>Gestionar lotes</t>
  </si>
  <si>
    <t>El sistema no permite registrar nuevos lotes físicos de la finca.</t>
  </si>
  <si>
    <t>REQ004.2.1</t>
  </si>
  <si>
    <t>REQ004.2.2</t>
  </si>
  <si>
    <t>REQ004.2.3</t>
  </si>
  <si>
    <t>REQ004.2.4</t>
  </si>
  <si>
    <t>Se desarrollará un formulario para registrar lotes donde el administrador ingresará la nomenclatura y descripción correspondiente. El sistema validará la información y almacenará el nuevo lote en la base de datos para su utilización en los demás módulos.</t>
  </si>
  <si>
    <t>Registrar un lote con datos válidos y verificar que quede almacenado correctamente y disponible para su selección en el sistema.</t>
  </si>
  <si>
    <t>Cada lote debe identificarse mediante una nomenclatura única para facilitar su administración.</t>
  </si>
  <si>
    <t>Registrar lote</t>
  </si>
  <si>
    <t>El sistema no permite visualizar la información de los lotes registrados.</t>
  </si>
  <si>
    <t>Consultar lotes físicos.</t>
  </si>
  <si>
    <t>Acceder rápidamente a la información de los lotes registrados.</t>
  </si>
  <si>
    <t>Se desarrollará una interfaz que permita consultar los lotes registrados y visualizar su nomenclatura y descripción mediante la información almacenada en la base de datos.</t>
  </si>
  <si>
    <t>Consultar un lote registrado y verificar que la información mostrada coincida con la almacenada en la base de datos.</t>
  </si>
  <si>
    <t>La consulta debe mostrar información actualizada de cada lote.</t>
  </si>
  <si>
    <t>Consultar lote</t>
  </si>
  <si>
    <t>El sistema no permite actualizar la información de los lotes registrados.</t>
  </si>
  <si>
    <t>Mantener actualizados los datos de los lotes utilizados en la finca.</t>
  </si>
  <si>
    <t>Se implementará una opción para editar la información de un lote existente. El sistema validará los cambios realizados y actualizará la información correspondiente en la base de datos.</t>
  </si>
  <si>
    <t>Modificar la información de un lote y verificar que los cambios se reflejen correctamente en el sistema.</t>
  </si>
  <si>
    <t>Las modificaciones deben conservar la integridad de la información registrada.</t>
  </si>
  <si>
    <t>Editar lote</t>
  </si>
  <si>
    <t>El sistema no permite eliminar lotes que ya no serán utilizados.</t>
  </si>
  <si>
    <t>Eliminar lotes.</t>
  </si>
  <si>
    <t>Modificar la información de los lotes.</t>
  </si>
  <si>
    <t>Mantener actualizado el registro de lotes disponibles en el sistema.</t>
  </si>
  <si>
    <t>Se desarrollará una funcionalidad para eliminar lotes registrados. El sistema verificará que el lote no se encuentre asociado a procesos activos antes de eliminarlo de la base de datos.</t>
  </si>
  <si>
    <t>Eliminar un lote sin asociaciones activas y verificar que deje de estar disponible en el sistema. Intentar eliminar un lote asociado a registros activos y comprobar que el sistema impida la operación.</t>
  </si>
  <si>
    <t>No debe permitirse eliminar lotes que estén siendo utilizados por otros procesos del sistema para preservar la integridad de la información.</t>
  </si>
  <si>
    <t>Eliminar lote</t>
  </si>
  <si>
    <t>Registrar un nuevo lote.</t>
  </si>
  <si>
    <t>REQ005.1</t>
  </si>
  <si>
    <t>REQ005.2</t>
  </si>
  <si>
    <t>REQ005.3</t>
  </si>
  <si>
    <t>REQ005.4</t>
  </si>
  <si>
    <t>El sistema no dispone de un módulo para registrar y controlar las transacciones realizadas durante la cosecha en campo.</t>
  </si>
  <si>
    <t>Gestionar las transacciones de producción en campo.</t>
  </si>
  <si>
    <t>Mantener un registro confiable de las operaciones realizadas durante el proceso de cosecha y clasificación de la producción.</t>
  </si>
  <si>
    <t>Se va a construir un módulo para registrar las transacciones de producción en campo, permitiendo almacenar la información de la cosecha, su clasificación y los ajustes correspondientes. El sistema aplicará las validaciones necesarias, almacenará los registros en la base de datos y permitirá sincronizar la información cuando exista conexión a internet.</t>
  </si>
  <si>
    <t>Registrar una transacción de producción y verificar que la información quede almacenada correctamente. Comprobar que los registros puedan sincronizarse cuando exista conexión a internet.</t>
  </si>
  <si>
    <t>El módulo debe garantizar la integridad de la información tanto en operaciones con conexión como en modo sin conexión.</t>
  </si>
  <si>
    <t>Registrar transacciones en campo</t>
  </si>
  <si>
    <t>El sistema no permite registrar el peso bruto de la cosecha por lote.</t>
  </si>
  <si>
    <t>Registrar el pesaje bruto de la cosecha.</t>
  </si>
  <si>
    <t>Mantener un registro inicial de la producción recolectada por cada lote.</t>
  </si>
  <si>
    <t>Se desarrollará un formulario para registrar el pesaje bruto de la cosecha, asociando el registro al lote correspondiente. El sistema validará los datos ingresados y almacenará la información en la base de datos para su posterior procesamiento.</t>
  </si>
  <si>
    <t>Registrar el peso bruto de un lote y verificar que la información quede almacenada correctamente.</t>
  </si>
  <si>
    <t>Registrar pesaje bruto</t>
  </si>
  <si>
    <t>El sistema no permite clasificar la producción cosechada según su destino y calidad.</t>
  </si>
  <si>
    <t>Registrar la clasificación poscosecha.</t>
  </si>
  <si>
    <t>Organizar la producción de acuerdo con las categorías establecidas y controlar las mermas generadas.</t>
  </si>
  <si>
    <t>Se desarrollará un módulo para registrar la clasificación de la producción, permitiendo asociar los productos a su categoría correspondiente y aplicar las reglas de negocio relacionadas con mermas y tolerancias. El sistema almacenará los resultados obtenidos.</t>
  </si>
  <si>
    <t>Registrar la clasificación de una cosecha y verificar que las categorías y cálculos aplicados se almacenen correctamente.</t>
  </si>
  <si>
    <t>La clasificación debe respetar las reglas de negocio definidas para el cálculo de mermas y categorías.</t>
  </si>
  <si>
    <t>Registrar clasificación poscosecha</t>
  </si>
  <si>
    <t>El sistema no permite registrar los ajustes realizados por el comprador sobre la producción entregada.</t>
  </si>
  <si>
    <t>Registrar los ajustes realizados por el comprador.</t>
  </si>
  <si>
    <t>Mantener la trazabilidad de los rechazos y modificaciones posteriores a la entrega de la producción.</t>
  </si>
  <si>
    <t>Se va a implementar una funcionalidad para registrar los ajustes emitidos por el comprador, incluyendo observaciones y modificaciones sobre la producción entregada. El sistema almacenará esta información para mantener el historial de cada transacción.</t>
  </si>
  <si>
    <t>Registrar un ajuste de comprador y verificar que quede asociado a la transacción correspondiente.</t>
  </si>
  <si>
    <t>Los ajustes deben conservar el historial de la transacción original para garantizar la trazabilidad.</t>
  </si>
  <si>
    <t>Registrar ajuste de comprador</t>
  </si>
  <si>
    <t>Sincronizar datos offline</t>
  </si>
  <si>
    <t>El proceso de sincronización debe evitar la pérdida o duplicación de información durante la transferencia de datos.</t>
  </si>
  <si>
    <t>Registrar transacciones sin conexión y comprobar que, al restablecerse la conexión, la información se sincronice correctamente con la base de datos central.</t>
  </si>
  <si>
    <t>Se desarrollará un mecanismo de sincronización que permita transferir los registros almacenados localmente hacia la base de datos central cuando el dispositivo recupere la conexión a internet, validando la integridad de la información antes de completar el proceso.</t>
  </si>
  <si>
    <t>Garantizar que la información registrada en campo esté disponible en la base de datos central cuando exista conexión a internet.</t>
  </si>
  <si>
    <t>Sincronizar los datos registrados en modo offline.</t>
  </si>
  <si>
    <t>Las transacciones registradas sin conexión no se sincronizan automáticamente con el sistema central.</t>
  </si>
  <si>
    <t>REQ004.3</t>
  </si>
  <si>
    <t>REQ004.3.1</t>
  </si>
  <si>
    <t>REQ004.3.2</t>
  </si>
  <si>
    <t>REQ004.3.3</t>
  </si>
  <si>
    <t>REQ004.3.4</t>
  </si>
  <si>
    <t>El sistema no dispone de un módulo para administrar la información de los compradores de la producción agrícola.</t>
  </si>
  <si>
    <t>Gestionar los compradores registrados en el sistema.</t>
  </si>
  <si>
    <t>Mantener actualizada la información de las empresas compradoras utilizadas en las campañas de producción.</t>
  </si>
  <si>
    <t>Se desarrollará un módulo para la administración de compradores donde el administrador podrá registrar, consultar, modificar y eliminar la información de las empresas compradoras. El sistema almacenará los datos de identificación y contacto en la base de datos, permitiendo su asociación con las campañas de cultivo cuando sea necesario.</t>
  </si>
  <si>
    <t>Acceder al módulo de compradores y verificar que sea posible administrar los registros, comprobando que la información pueda asociarse correctamente a las campañas de cultivo.</t>
  </si>
  <si>
    <t>Los compradores registrados deben estar disponibles para su utilización en las campañas y en los procesos de facturación o comercialización.</t>
  </si>
  <si>
    <t>Gestionar compradores</t>
  </si>
  <si>
    <t>El sistema no permite registrar nuevos compradores de la producción agrícola.</t>
  </si>
  <si>
    <t>Registrar compradores.</t>
  </si>
  <si>
    <t>Mantener un registro actualizado de las empresas compradoras.</t>
  </si>
  <si>
    <t>Se desarrollará un formulario para registrar compradores donde el administrador ingresará las siglas, nombre y datos de contacto de la empresa. El sistema validará la información y la almacenará en la base de datos para su utilización en campañas y procesos de comercialización.</t>
  </si>
  <si>
    <t>Registrar un comprador con datos válidos y verificar que la información quede almacenada correctamente en la base de datos.</t>
  </si>
  <si>
    <t>Cada comprador debe contar con un identificador único para evitar registros duplicados.</t>
  </si>
  <si>
    <t>Registrar comprador</t>
  </si>
  <si>
    <t>El sistema no permite visualizar la información de los compradores registrados.</t>
  </si>
  <si>
    <t>Acceder rápidamente a la información de las empresas compradoras registradas.</t>
  </si>
  <si>
    <t>Consultar compradores.</t>
  </si>
  <si>
    <t>Se desarrollará una interfaz para consultar los compradores registrados, permitiendo visualizar su información y realizar búsquedas mediante criterios disponibles. El sistema recuperará la información almacenada en la base de datos.</t>
  </si>
  <si>
    <t>Consultar un comprador registrado y verificar que la información mostrada coincida con la almacenada en la base de datos.</t>
  </si>
  <si>
    <t>La consulta debe mostrar la información actualizada de cada comprador.</t>
  </si>
  <si>
    <t>Consultar comprador</t>
  </si>
  <si>
    <t>El sistema no permite actualizar la información de los compradores registrados.</t>
  </si>
  <si>
    <t>Modificar la información de los compradores.</t>
  </si>
  <si>
    <t>Mantener actualizados los datos de las empresas compradoras.</t>
  </si>
  <si>
    <t>Se implementará una opción para editar la información de un comprador registrado. El sistema validará los cambios realizados y actualizará la información correspondiente en la base de datos.</t>
  </si>
  <si>
    <t>Modificar la información de un comprador y verificar que los cambios se reflejen correctamente en el sistema.</t>
  </si>
  <si>
    <t>Editar comprador</t>
  </si>
  <si>
    <t>El sistema no permite eliminar compradores que ya no participan en las operaciones de la finca.</t>
  </si>
  <si>
    <t>Eliminar compradores registrados.</t>
  </si>
  <si>
    <t>Mantener actualizado el registro de empresas compradoras disponibles en el sistema.</t>
  </si>
  <si>
    <t>Se desarrollará una funcionalidad para eliminar compradores registrados. El sistema verificará que el comprador no esté asociado a campañas o transacciones activas antes de eliminar el registro de la base de datos.</t>
  </si>
  <si>
    <t>Eliminar un comprador sin asociaciones activas y verificar que deje de estar disponible en el sistema. Intentar eliminar un comprador asociado a campañas activas y comprobar que el sistema impida la operación.</t>
  </si>
  <si>
    <t>No debe permitirse eliminar compradores que estén relacionados con campañas o transacciones existentes para preservar la integridad de la información.</t>
  </si>
  <si>
    <t>Eliminar comprador</t>
  </si>
  <si>
    <t>Configurar catálogos de la finca</t>
  </si>
  <si>
    <t>Administrador de la Finca</t>
  </si>
  <si>
    <t>REQ006</t>
  </si>
  <si>
    <t>El sistema no dispone de una herramienta para evaluar el desempeño de la producción agrícola.</t>
  </si>
  <si>
    <t>Analizar la productividad de la finca.</t>
  </si>
  <si>
    <t>Obtener información que facilite la evaluación de la producción y apoye la toma de decisiones.</t>
  </si>
  <si>
    <t>Se desarrollará un módulo de análisis donde el administrador podrá consultar indicadores de productividad a partir de la información registrada en el sistema. Los resultados se presentarán de forma organizada para facilitar su interpretación y seguimiento.</t>
  </si>
  <si>
    <t>Consultar los indicadores de productividad y verificar que la información corresponda con los registros almacenados en el sistema.</t>
  </si>
  <si>
    <t>El análisis se basa en la información previamente registrada en campañas, lotes y transacciones.</t>
  </si>
  <si>
    <t>Analizar productividad</t>
  </si>
  <si>
    <t>REQ006.1.1</t>
  </si>
  <si>
    <t>REQ006.1.2</t>
  </si>
  <si>
    <t>REQ006.1.3</t>
  </si>
  <si>
    <t>REQ006.1.4</t>
  </si>
  <si>
    <t>El sistema no permite consultar métricas por periodos específicos.</t>
  </si>
  <si>
    <t>Filtrar métricas por rango de fechas.</t>
  </si>
  <si>
    <t>Analizar la productividad dentro de un periodo determinado.</t>
  </si>
  <si>
    <t>Seleccionar un rango de fechas y verificar que únicamente se muestren los datos comprendidos en ese periodo.</t>
  </si>
  <si>
    <t>Facilita el análisis histórico de la producción.</t>
  </si>
  <si>
    <t>Filtrar métricas por rango de fechas</t>
  </si>
  <si>
    <t>El sistema no permite analizar la productividad de un lote específico.</t>
  </si>
  <si>
    <t>Filtrar métricas por lote.</t>
  </si>
  <si>
    <t>Evaluar el desempeño de cada lote de producción.</t>
  </si>
  <si>
    <t>Se desarrollará un filtro para seleccionar un lote específico y mostrar únicamente las métricas relacionadas con dicho lote.</t>
  </si>
  <si>
    <t>Seleccionar un lote y verificar que los indicadores correspondan únicamente a la información registrada para ese lote.</t>
  </si>
  <si>
    <t>Permite comparar el rendimiento entre lotes.</t>
  </si>
  <si>
    <t>Filtrar métricas por lote</t>
  </si>
  <si>
    <t>El sistema no permite consultar métricas por campaña o tipo de funda.</t>
  </si>
  <si>
    <t>Filtrar métricas por campaña o funda.</t>
  </si>
  <si>
    <t>Analizar la productividad según campañas o características de producción.</t>
  </si>
  <si>
    <t>Se implementará un filtro que permita seleccionar una campaña o tipo de funda para visualizar únicamente las métricas relacionadas con esa selección.</t>
  </si>
  <si>
    <t>Aplicar el filtro por campaña o funda y verificar que los resultados correspondan con la información registrada.</t>
  </si>
  <si>
    <t>Facilita el análisis comparativo entre campañas.</t>
  </si>
  <si>
    <t>Filtrar métricas por campaña o funda</t>
  </si>
  <si>
    <t>El sistema no permite exportar los resultados del análisis de productividad.</t>
  </si>
  <si>
    <t>Generar reportes exportables.</t>
  </si>
  <si>
    <t>Compartir y conservar la información analizada en formatos digitales.</t>
  </si>
  <si>
    <t>Se implementará la opción de generar reportes de productividad en formato PDF o Excel a partir de los filtros seleccionados por el usuario.</t>
  </si>
  <si>
    <t>Generar un reporte en PDF o Excel y verificar que contenga la información mostrada en pantalla.</t>
  </si>
  <si>
    <t>Los reportes facilitan la presentación y el respaldo de la información.</t>
  </si>
  <si>
    <t>Generar reporte exportable (PDF/Excel)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</si>
</sst>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6" fillId="5" borderId="7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1" fillId="0" borderId="5" xfId="0" applyFont="1" applyBorder="1"/>
    <xf numFmtId="49" fontId="5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9" fillId="3" borderId="5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9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0" xfId="0" applyFont="1" applyBorder="1"/>
    <xf numFmtId="0" fontId="3" fillId="0" borderId="22" xfId="0" applyFont="1" applyBorder="1"/>
    <xf numFmtId="0" fontId="23" fillId="3" borderId="7" xfId="0" applyNumberFormat="1" applyFont="1" applyFill="1" applyBorder="1" applyAlignment="1">
      <alignment horizontal="left" vertical="center" wrapText="1"/>
    </xf>
    <xf numFmtId="0" fontId="3" fillId="0" borderId="9" xfId="0" applyNumberFormat="1" applyFont="1" applyBorder="1"/>
    <xf numFmtId="0" fontId="3" fillId="0" borderId="8" xfId="0" applyNumberFormat="1" applyFont="1" applyBorder="1"/>
    <xf numFmtId="0" fontId="3" fillId="0" borderId="11" xfId="0" applyNumberFormat="1" applyFont="1" applyBorder="1"/>
    <xf numFmtId="0" fontId="0" fillId="0" borderId="0" xfId="0" applyNumberFormat="1"/>
    <xf numFmtId="0" fontId="3" fillId="0" borderId="12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3" fillId="0" borderId="22" xfId="0" applyNumberFormat="1" applyFont="1" applyBorder="1"/>
    <xf numFmtId="0" fontId="9" fillId="3" borderId="7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21" xfId="0" applyFont="1" applyBorder="1"/>
    <xf numFmtId="0" fontId="10" fillId="0" borderId="0" xfId="0" applyFont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9" fillId="3" borderId="7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4" fillId="8" borderId="7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wrapText="1"/>
    </xf>
    <xf numFmtId="0" fontId="6" fillId="0" borderId="0" xfId="0" applyFont="1"/>
    <xf numFmtId="0" fontId="1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topLeftCell="E39" zoomScale="85" zoomScaleNormal="85" workbookViewId="0">
      <selection activeCell="I44" sqref="I44"/>
    </sheetView>
  </sheetViews>
  <sheetFormatPr baseColWidth="10" defaultColWidth="12.625" defaultRowHeight="15" customHeight="1" x14ac:dyDescent="0.2"/>
  <cols>
    <col min="1" max="1" width="4.625" customWidth="1"/>
    <col min="2" max="2" width="9" customWidth="1"/>
    <col min="3" max="3" width="25.125" customWidth="1"/>
    <col min="4" max="4" width="31.125" customWidth="1"/>
    <col min="5" max="5" width="20.625" customWidth="1"/>
    <col min="6" max="6" width="17.75" customWidth="1"/>
    <col min="7" max="7" width="49.125" customWidth="1"/>
    <col min="8" max="10" width="10.625" customWidth="1"/>
    <col min="11" max="12" width="10.625" hidden="1" customWidth="1"/>
    <col min="13" max="13" width="47.25" hidden="1" customWidth="1"/>
    <col min="14" max="14" width="26.75" hidden="1" customWidth="1"/>
    <col min="15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58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3</v>
      </c>
      <c r="J6" s="7">
        <v>46195</v>
      </c>
      <c r="K6" s="6" t="s">
        <v>22</v>
      </c>
      <c r="L6" s="6" t="s">
        <v>117</v>
      </c>
      <c r="M6" s="44" t="s">
        <v>24</v>
      </c>
      <c r="N6" s="12" t="s">
        <v>25</v>
      </c>
      <c r="O6" s="12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7.75" customHeight="1" x14ac:dyDescent="0.3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21</v>
      </c>
      <c r="I7" s="6">
        <v>7</v>
      </c>
      <c r="J7" s="7">
        <v>46195</v>
      </c>
      <c r="K7" s="6" t="s">
        <v>22</v>
      </c>
      <c r="L7" s="53" t="s">
        <v>117</v>
      </c>
      <c r="M7" s="6" t="s">
        <v>32</v>
      </c>
      <c r="N7" s="6" t="s">
        <v>33</v>
      </c>
      <c r="O7" s="1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7.75" customHeight="1" x14ac:dyDescent="0.3">
      <c r="A8" s="5"/>
      <c r="B8" s="6" t="s">
        <v>35</v>
      </c>
      <c r="C8" s="6" t="s">
        <v>36</v>
      </c>
      <c r="D8" s="11" t="s">
        <v>37</v>
      </c>
      <c r="E8" s="6" t="s">
        <v>38</v>
      </c>
      <c r="F8" s="6" t="s">
        <v>19</v>
      </c>
      <c r="G8" s="11" t="s">
        <v>39</v>
      </c>
      <c r="H8" s="6" t="s">
        <v>40</v>
      </c>
      <c r="I8" s="6">
        <v>5</v>
      </c>
      <c r="J8" s="7">
        <v>46195</v>
      </c>
      <c r="K8" s="6" t="s">
        <v>41</v>
      </c>
      <c r="L8" s="53" t="s">
        <v>117</v>
      </c>
      <c r="M8" s="6" t="s">
        <v>42</v>
      </c>
      <c r="N8" s="6" t="s">
        <v>43</v>
      </c>
      <c r="O8" s="12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.75" customHeight="1" x14ac:dyDescent="0.3">
      <c r="A9" s="43"/>
      <c r="B9" s="50" t="s">
        <v>45</v>
      </c>
      <c r="C9" s="50" t="s">
        <v>46</v>
      </c>
      <c r="D9" s="51" t="s">
        <v>47</v>
      </c>
      <c r="E9" s="50" t="s">
        <v>48</v>
      </c>
      <c r="F9" s="6" t="s">
        <v>19</v>
      </c>
      <c r="G9" s="51" t="s">
        <v>49</v>
      </c>
      <c r="H9" s="50" t="s">
        <v>21</v>
      </c>
      <c r="I9" s="50">
        <v>3</v>
      </c>
      <c r="J9" s="7">
        <v>46196</v>
      </c>
      <c r="K9" s="50" t="s">
        <v>41</v>
      </c>
      <c r="L9" s="56" t="s">
        <v>117</v>
      </c>
      <c r="M9" s="50" t="s">
        <v>50</v>
      </c>
      <c r="N9" s="50" t="s">
        <v>51</v>
      </c>
      <c r="O9" s="50" t="s">
        <v>130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8.75" customHeight="1" x14ac:dyDescent="0.3">
      <c r="A10" s="5"/>
      <c r="B10" s="6" t="s">
        <v>52</v>
      </c>
      <c r="C10" s="6" t="s">
        <v>53</v>
      </c>
      <c r="D10" s="11" t="s">
        <v>54</v>
      </c>
      <c r="E10" s="6" t="s">
        <v>55</v>
      </c>
      <c r="F10" s="53" t="s">
        <v>19</v>
      </c>
      <c r="G10" s="11" t="s">
        <v>56</v>
      </c>
      <c r="H10" s="6" t="s">
        <v>40</v>
      </c>
      <c r="I10" s="6">
        <v>3</v>
      </c>
      <c r="J10" s="7">
        <v>46196</v>
      </c>
      <c r="K10" s="6" t="s">
        <v>41</v>
      </c>
      <c r="L10" s="53" t="s">
        <v>117</v>
      </c>
      <c r="M10" s="6" t="s">
        <v>57</v>
      </c>
      <c r="N10" s="6" t="s">
        <v>51</v>
      </c>
      <c r="O10" s="12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7.25" customHeight="1" x14ac:dyDescent="0.3">
      <c r="A11" s="5"/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19</v>
      </c>
      <c r="G11" s="6" t="s">
        <v>63</v>
      </c>
      <c r="H11" s="6" t="s">
        <v>64</v>
      </c>
      <c r="I11" s="6">
        <v>3</v>
      </c>
      <c r="J11" s="7">
        <v>46197</v>
      </c>
      <c r="K11" s="6" t="s">
        <v>41</v>
      </c>
      <c r="L11" s="53" t="s">
        <v>117</v>
      </c>
      <c r="M11" s="8" t="s">
        <v>65</v>
      </c>
      <c r="N11" s="6" t="s">
        <v>66</v>
      </c>
      <c r="O11" s="9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6.25" customHeight="1" x14ac:dyDescent="0.3">
      <c r="A12" s="5"/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19</v>
      </c>
      <c r="G12" s="6" t="s">
        <v>72</v>
      </c>
      <c r="H12" s="6" t="s">
        <v>64</v>
      </c>
      <c r="I12" s="6">
        <v>4</v>
      </c>
      <c r="J12" s="7">
        <v>46197</v>
      </c>
      <c r="K12" s="6" t="s">
        <v>73</v>
      </c>
      <c r="L12" s="53" t="s">
        <v>117</v>
      </c>
      <c r="M12" s="8" t="s">
        <v>74</v>
      </c>
      <c r="N12" s="6" t="s">
        <v>75</v>
      </c>
      <c r="O12" s="9" t="s">
        <v>129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4.5" customHeight="1" x14ac:dyDescent="0.3">
      <c r="A13" s="5"/>
      <c r="B13" s="50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6" t="s">
        <v>64</v>
      </c>
      <c r="I13" s="6">
        <v>7</v>
      </c>
      <c r="J13" s="7">
        <v>46197</v>
      </c>
      <c r="K13" s="6" t="s">
        <v>22</v>
      </c>
      <c r="L13" s="53" t="s">
        <v>117</v>
      </c>
      <c r="M13" s="8" t="s">
        <v>82</v>
      </c>
      <c r="N13" s="6" t="s">
        <v>83</v>
      </c>
      <c r="O13" s="9" t="s">
        <v>84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9" customHeight="1" x14ac:dyDescent="0.3">
      <c r="A14" s="5"/>
      <c r="B14" s="6" t="s">
        <v>85</v>
      </c>
      <c r="C14" s="12" t="s">
        <v>86</v>
      </c>
      <c r="D14" s="12" t="s">
        <v>87</v>
      </c>
      <c r="E14" s="12" t="s">
        <v>88</v>
      </c>
      <c r="F14" s="6" t="s">
        <v>80</v>
      </c>
      <c r="G14" s="12" t="s">
        <v>89</v>
      </c>
      <c r="H14" s="6" t="s">
        <v>64</v>
      </c>
      <c r="I14" s="12">
        <v>3</v>
      </c>
      <c r="J14" s="7">
        <v>46203</v>
      </c>
      <c r="K14" s="6" t="s">
        <v>22</v>
      </c>
      <c r="L14" s="53" t="s">
        <v>117</v>
      </c>
      <c r="M14" s="44" t="s">
        <v>90</v>
      </c>
      <c r="N14" s="12" t="s">
        <v>91</v>
      </c>
      <c r="O14" s="12" t="s">
        <v>92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6.5" customHeight="1" x14ac:dyDescent="0.3">
      <c r="A15" s="5"/>
      <c r="B15" s="6" t="s">
        <v>93</v>
      </c>
      <c r="C15" s="12" t="s">
        <v>94</v>
      </c>
      <c r="D15" s="12" t="s">
        <v>95</v>
      </c>
      <c r="E15" s="12" t="s">
        <v>96</v>
      </c>
      <c r="F15" s="6" t="s">
        <v>80</v>
      </c>
      <c r="G15" s="12" t="s">
        <v>97</v>
      </c>
      <c r="H15" s="6" t="s">
        <v>64</v>
      </c>
      <c r="I15" s="12">
        <v>2</v>
      </c>
      <c r="J15" s="7">
        <v>46203</v>
      </c>
      <c r="K15" s="6" t="s">
        <v>22</v>
      </c>
      <c r="L15" s="53" t="s">
        <v>117</v>
      </c>
      <c r="M15" s="44" t="s">
        <v>98</v>
      </c>
      <c r="N15" s="12" t="s">
        <v>99</v>
      </c>
      <c r="O15" s="12" t="s">
        <v>100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2" customHeight="1" x14ac:dyDescent="0.3">
      <c r="A16" s="5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80</v>
      </c>
      <c r="G16" s="6" t="s">
        <v>105</v>
      </c>
      <c r="H16" s="6" t="s">
        <v>40</v>
      </c>
      <c r="I16" s="6">
        <v>2</v>
      </c>
      <c r="J16" s="7">
        <v>46203</v>
      </c>
      <c r="K16" s="6" t="s">
        <v>22</v>
      </c>
      <c r="L16" s="53" t="s">
        <v>117</v>
      </c>
      <c r="M16" s="8" t="s">
        <v>106</v>
      </c>
      <c r="N16" s="6" t="s">
        <v>107</v>
      </c>
      <c r="O16" s="9" t="s">
        <v>108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4" customHeight="1" x14ac:dyDescent="0.3">
      <c r="A17" s="5"/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80</v>
      </c>
      <c r="G17" s="6" t="s">
        <v>113</v>
      </c>
      <c r="H17" s="6" t="s">
        <v>21</v>
      </c>
      <c r="I17" s="6">
        <v>2</v>
      </c>
      <c r="J17" s="7">
        <v>46203</v>
      </c>
      <c r="K17" s="6" t="s">
        <v>22</v>
      </c>
      <c r="L17" s="53" t="s">
        <v>117</v>
      </c>
      <c r="M17" s="8" t="s">
        <v>114</v>
      </c>
      <c r="N17" s="6" t="s">
        <v>115</v>
      </c>
      <c r="O17" s="9" t="s">
        <v>128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5.25" customHeight="1" x14ac:dyDescent="0.3">
      <c r="A18" s="5"/>
      <c r="B18" s="6" t="s">
        <v>131</v>
      </c>
      <c r="C18" s="6" t="s">
        <v>132</v>
      </c>
      <c r="D18" s="6" t="s">
        <v>133</v>
      </c>
      <c r="E18" s="6" t="s">
        <v>134</v>
      </c>
      <c r="F18" s="53" t="s">
        <v>293</v>
      </c>
      <c r="G18" s="6" t="s">
        <v>135</v>
      </c>
      <c r="H18" s="6" t="s">
        <v>21</v>
      </c>
      <c r="I18" s="6">
        <v>6</v>
      </c>
      <c r="J18" s="7">
        <v>46217</v>
      </c>
      <c r="K18" s="53" t="s">
        <v>41</v>
      </c>
      <c r="L18" s="53" t="s">
        <v>23</v>
      </c>
      <c r="M18" s="44" t="s">
        <v>136</v>
      </c>
      <c r="N18" s="12" t="s">
        <v>137</v>
      </c>
      <c r="O18" s="55" t="s">
        <v>292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3.25" customHeight="1" x14ac:dyDescent="0.3">
      <c r="A19" s="5"/>
      <c r="B19" s="6" t="s">
        <v>138</v>
      </c>
      <c r="C19" s="6" t="s">
        <v>139</v>
      </c>
      <c r="D19" s="11" t="s">
        <v>140</v>
      </c>
      <c r="E19" s="6" t="s">
        <v>141</v>
      </c>
      <c r="F19" s="53" t="s">
        <v>293</v>
      </c>
      <c r="G19" s="11" t="s">
        <v>142</v>
      </c>
      <c r="H19" s="6" t="s">
        <v>21</v>
      </c>
      <c r="I19" s="6">
        <v>5</v>
      </c>
      <c r="J19" s="7">
        <v>46217</v>
      </c>
      <c r="K19" s="53" t="s">
        <v>41</v>
      </c>
      <c r="L19" s="53" t="s">
        <v>23</v>
      </c>
      <c r="M19" s="6" t="s">
        <v>143</v>
      </c>
      <c r="N19" s="6" t="s">
        <v>144</v>
      </c>
      <c r="O19" s="12" t="s">
        <v>145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6" customHeight="1" x14ac:dyDescent="0.3">
      <c r="A20" s="5"/>
      <c r="B20" s="6" t="s">
        <v>147</v>
      </c>
      <c r="C20" s="6" t="s">
        <v>146</v>
      </c>
      <c r="D20" s="11" t="s">
        <v>148</v>
      </c>
      <c r="E20" s="6" t="s">
        <v>149</v>
      </c>
      <c r="F20" s="53" t="s">
        <v>293</v>
      </c>
      <c r="G20" s="11" t="s">
        <v>150</v>
      </c>
      <c r="H20" s="6" t="s">
        <v>21</v>
      </c>
      <c r="I20" s="6">
        <v>3</v>
      </c>
      <c r="J20" s="7">
        <v>46217</v>
      </c>
      <c r="K20" s="53" t="s">
        <v>41</v>
      </c>
      <c r="L20" s="53" t="s">
        <v>23</v>
      </c>
      <c r="M20" s="6" t="s">
        <v>151</v>
      </c>
      <c r="N20" s="6" t="s">
        <v>152</v>
      </c>
      <c r="O20" s="12" t="s">
        <v>153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0.25" customHeight="1" x14ac:dyDescent="0.3">
      <c r="A21" s="5"/>
      <c r="B21" s="6" t="s">
        <v>154</v>
      </c>
      <c r="C21" s="6" t="s">
        <v>157</v>
      </c>
      <c r="D21" s="11" t="s">
        <v>158</v>
      </c>
      <c r="E21" s="6" t="s">
        <v>159</v>
      </c>
      <c r="F21" s="53" t="s">
        <v>293</v>
      </c>
      <c r="G21" s="11" t="s">
        <v>160</v>
      </c>
      <c r="H21" s="6" t="s">
        <v>21</v>
      </c>
      <c r="I21" s="6">
        <v>3</v>
      </c>
      <c r="J21" s="7">
        <v>46217</v>
      </c>
      <c r="K21" s="53" t="s">
        <v>41</v>
      </c>
      <c r="L21" s="6" t="s">
        <v>23</v>
      </c>
      <c r="M21" s="6" t="s">
        <v>161</v>
      </c>
      <c r="N21" s="6" t="s">
        <v>169</v>
      </c>
      <c r="O21" s="12" t="s">
        <v>162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8.75" customHeight="1" x14ac:dyDescent="0.3">
      <c r="A22" s="5"/>
      <c r="B22" s="6" t="s">
        <v>155</v>
      </c>
      <c r="C22" s="6" t="s">
        <v>164</v>
      </c>
      <c r="D22" s="11" t="s">
        <v>165</v>
      </c>
      <c r="E22" s="6" t="s">
        <v>149</v>
      </c>
      <c r="F22" s="53" t="s">
        <v>293</v>
      </c>
      <c r="G22" s="11" t="s">
        <v>166</v>
      </c>
      <c r="H22" s="6" t="s">
        <v>21</v>
      </c>
      <c r="I22" s="6">
        <v>3</v>
      </c>
      <c r="J22" s="7">
        <v>46217</v>
      </c>
      <c r="K22" s="53" t="s">
        <v>41</v>
      </c>
      <c r="L22" s="6" t="s">
        <v>23</v>
      </c>
      <c r="M22" s="6" t="s">
        <v>167</v>
      </c>
      <c r="N22" s="6" t="s">
        <v>168</v>
      </c>
      <c r="O22" s="12" t="s">
        <v>163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8.5" customHeight="1" x14ac:dyDescent="0.3">
      <c r="A23" s="5"/>
      <c r="B23" s="6" t="s">
        <v>156</v>
      </c>
      <c r="C23" s="6" t="s">
        <v>170</v>
      </c>
      <c r="D23" s="11" t="s">
        <v>171</v>
      </c>
      <c r="E23" s="6" t="s">
        <v>172</v>
      </c>
      <c r="F23" s="53" t="s">
        <v>293</v>
      </c>
      <c r="G23" s="11" t="s">
        <v>173</v>
      </c>
      <c r="H23" s="6" t="s">
        <v>21</v>
      </c>
      <c r="I23" s="6">
        <v>3</v>
      </c>
      <c r="J23" s="7">
        <v>46217</v>
      </c>
      <c r="K23" s="53" t="s">
        <v>41</v>
      </c>
      <c r="L23" s="6" t="s">
        <v>23</v>
      </c>
      <c r="M23" s="6" t="s">
        <v>174</v>
      </c>
      <c r="N23" s="6" t="s">
        <v>152</v>
      </c>
      <c r="O23" s="12" t="s">
        <v>175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5.25" customHeight="1" x14ac:dyDescent="0.3">
      <c r="A24" s="5"/>
      <c r="B24" s="6" t="s">
        <v>177</v>
      </c>
      <c r="C24" s="6" t="s">
        <v>178</v>
      </c>
      <c r="D24" s="11" t="s">
        <v>179</v>
      </c>
      <c r="E24" s="6" t="s">
        <v>180</v>
      </c>
      <c r="F24" s="53" t="s">
        <v>293</v>
      </c>
      <c r="G24" s="11" t="s">
        <v>181</v>
      </c>
      <c r="H24" s="6" t="s">
        <v>40</v>
      </c>
      <c r="I24" s="6">
        <v>7</v>
      </c>
      <c r="J24" s="7">
        <v>46217</v>
      </c>
      <c r="K24" s="53" t="s">
        <v>41</v>
      </c>
      <c r="L24" s="6" t="s">
        <v>23</v>
      </c>
      <c r="M24" s="6" t="s">
        <v>182</v>
      </c>
      <c r="N24" s="6" t="s">
        <v>152</v>
      </c>
      <c r="O24" s="12" t="s">
        <v>183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6.5" customHeight="1" x14ac:dyDescent="0.3">
      <c r="A25" s="52"/>
      <c r="B25" s="53" t="s">
        <v>185</v>
      </c>
      <c r="C25" s="53" t="s">
        <v>184</v>
      </c>
      <c r="D25" s="54" t="s">
        <v>214</v>
      </c>
      <c r="E25" s="6" t="s">
        <v>149</v>
      </c>
      <c r="F25" s="53" t="s">
        <v>293</v>
      </c>
      <c r="G25" s="54" t="s">
        <v>189</v>
      </c>
      <c r="H25" s="6" t="s">
        <v>40</v>
      </c>
      <c r="I25" s="6">
        <v>3</v>
      </c>
      <c r="J25" s="7">
        <v>46217</v>
      </c>
      <c r="K25" s="53" t="s">
        <v>41</v>
      </c>
      <c r="L25" s="6" t="s">
        <v>23</v>
      </c>
      <c r="M25" s="53" t="s">
        <v>190</v>
      </c>
      <c r="N25" s="53" t="s">
        <v>191</v>
      </c>
      <c r="O25" s="55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.75" customHeight="1" x14ac:dyDescent="0.3">
      <c r="A26" s="5"/>
      <c r="B26" s="53" t="s">
        <v>186</v>
      </c>
      <c r="C26" s="53" t="s">
        <v>193</v>
      </c>
      <c r="D26" s="54" t="s">
        <v>194</v>
      </c>
      <c r="E26" s="53" t="s">
        <v>195</v>
      </c>
      <c r="F26" s="53" t="s">
        <v>293</v>
      </c>
      <c r="G26" s="54" t="s">
        <v>196</v>
      </c>
      <c r="H26" s="6" t="s">
        <v>40</v>
      </c>
      <c r="I26" s="6">
        <v>3</v>
      </c>
      <c r="J26" s="7">
        <v>46217</v>
      </c>
      <c r="K26" s="53" t="s">
        <v>41</v>
      </c>
      <c r="L26" s="6" t="s">
        <v>23</v>
      </c>
      <c r="M26" s="53" t="s">
        <v>197</v>
      </c>
      <c r="N26" s="53" t="s">
        <v>198</v>
      </c>
      <c r="O26" s="55" t="s">
        <v>199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5" customHeight="1" x14ac:dyDescent="0.3">
      <c r="A27" s="5"/>
      <c r="B27" s="53" t="s">
        <v>187</v>
      </c>
      <c r="C27" s="53" t="s">
        <v>200</v>
      </c>
      <c r="D27" s="54" t="s">
        <v>208</v>
      </c>
      <c r="E27" s="53" t="s">
        <v>201</v>
      </c>
      <c r="F27" s="53" t="s">
        <v>293</v>
      </c>
      <c r="G27" s="54" t="s">
        <v>202</v>
      </c>
      <c r="H27" s="6" t="s">
        <v>40</v>
      </c>
      <c r="I27" s="6">
        <v>3</v>
      </c>
      <c r="J27" s="7">
        <v>46217</v>
      </c>
      <c r="K27" s="53" t="s">
        <v>41</v>
      </c>
      <c r="L27" s="6" t="s">
        <v>23</v>
      </c>
      <c r="M27" s="53" t="s">
        <v>203</v>
      </c>
      <c r="N27" s="53" t="s">
        <v>204</v>
      </c>
      <c r="O27" s="55" t="s">
        <v>205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6" customHeight="1" x14ac:dyDescent="0.3">
      <c r="A28" s="5"/>
      <c r="B28" s="53" t="s">
        <v>188</v>
      </c>
      <c r="C28" s="53" t="s">
        <v>206</v>
      </c>
      <c r="D28" s="54" t="s">
        <v>207</v>
      </c>
      <c r="E28" s="53" t="s">
        <v>209</v>
      </c>
      <c r="F28" s="53" t="s">
        <v>293</v>
      </c>
      <c r="G28" s="54" t="s">
        <v>210</v>
      </c>
      <c r="H28" s="6" t="s">
        <v>40</v>
      </c>
      <c r="I28" s="6">
        <v>3</v>
      </c>
      <c r="J28" s="7">
        <v>46217</v>
      </c>
      <c r="K28" s="53" t="s">
        <v>41</v>
      </c>
      <c r="L28" s="6" t="s">
        <v>23</v>
      </c>
      <c r="M28" s="53" t="s">
        <v>211</v>
      </c>
      <c r="N28" s="53" t="s">
        <v>212</v>
      </c>
      <c r="O28" s="55" t="s">
        <v>213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3.5" customHeight="1" x14ac:dyDescent="0.3">
      <c r="A29" s="5"/>
      <c r="B29" s="53" t="s">
        <v>253</v>
      </c>
      <c r="C29" s="53" t="s">
        <v>258</v>
      </c>
      <c r="D29" s="54" t="s">
        <v>259</v>
      </c>
      <c r="E29" s="53" t="s">
        <v>260</v>
      </c>
      <c r="F29" s="53" t="s">
        <v>293</v>
      </c>
      <c r="G29" s="54" t="s">
        <v>261</v>
      </c>
      <c r="H29" s="53" t="s">
        <v>64</v>
      </c>
      <c r="I29" s="53">
        <v>7</v>
      </c>
      <c r="J29" s="7">
        <v>46217</v>
      </c>
      <c r="K29" s="53" t="s">
        <v>41</v>
      </c>
      <c r="L29" s="53" t="s">
        <v>23</v>
      </c>
      <c r="M29" s="53" t="s">
        <v>262</v>
      </c>
      <c r="N29" s="53" t="s">
        <v>263</v>
      </c>
      <c r="O29" s="55" t="s">
        <v>264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3" customHeight="1" x14ac:dyDescent="0.3">
      <c r="A30" s="5"/>
      <c r="B30" s="53" t="s">
        <v>254</v>
      </c>
      <c r="C30" s="53" t="s">
        <v>265</v>
      </c>
      <c r="D30" s="54" t="s">
        <v>266</v>
      </c>
      <c r="E30" s="53" t="s">
        <v>267</v>
      </c>
      <c r="F30" s="53" t="s">
        <v>293</v>
      </c>
      <c r="G30" s="54" t="s">
        <v>268</v>
      </c>
      <c r="H30" s="53" t="s">
        <v>64</v>
      </c>
      <c r="I30" s="53">
        <v>3</v>
      </c>
      <c r="J30" s="7">
        <v>46217</v>
      </c>
      <c r="K30" s="53" t="s">
        <v>22</v>
      </c>
      <c r="L30" s="53" t="s">
        <v>23</v>
      </c>
      <c r="M30" s="53" t="s">
        <v>269</v>
      </c>
      <c r="N30" s="53" t="s">
        <v>270</v>
      </c>
      <c r="O30" s="55" t="s">
        <v>271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3.75" customHeight="1" x14ac:dyDescent="0.3">
      <c r="A31" s="5"/>
      <c r="B31" s="53" t="s">
        <v>255</v>
      </c>
      <c r="C31" s="53" t="s">
        <v>272</v>
      </c>
      <c r="D31" s="54" t="s">
        <v>274</v>
      </c>
      <c r="E31" s="53" t="s">
        <v>273</v>
      </c>
      <c r="F31" s="53" t="s">
        <v>293</v>
      </c>
      <c r="G31" s="54" t="s">
        <v>275</v>
      </c>
      <c r="H31" s="53" t="s">
        <v>64</v>
      </c>
      <c r="I31" s="6">
        <v>3</v>
      </c>
      <c r="J31" s="7">
        <v>46217</v>
      </c>
      <c r="K31" s="53" t="s">
        <v>41</v>
      </c>
      <c r="L31" s="53" t="s">
        <v>23</v>
      </c>
      <c r="M31" s="53" t="s">
        <v>276</v>
      </c>
      <c r="N31" s="53" t="s">
        <v>277</v>
      </c>
      <c r="O31" s="55" t="s">
        <v>278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4.25" customHeight="1" x14ac:dyDescent="0.3">
      <c r="A32" s="5"/>
      <c r="B32" s="53" t="s">
        <v>256</v>
      </c>
      <c r="C32" s="53" t="s">
        <v>279</v>
      </c>
      <c r="D32" s="54" t="s">
        <v>280</v>
      </c>
      <c r="E32" s="53" t="s">
        <v>281</v>
      </c>
      <c r="F32" s="53" t="s">
        <v>293</v>
      </c>
      <c r="G32" s="54" t="s">
        <v>282</v>
      </c>
      <c r="H32" s="53" t="s">
        <v>64</v>
      </c>
      <c r="I32" s="6">
        <v>3</v>
      </c>
      <c r="J32" s="7">
        <v>46217</v>
      </c>
      <c r="K32" s="53" t="s">
        <v>41</v>
      </c>
      <c r="L32" s="53" t="s">
        <v>23</v>
      </c>
      <c r="M32" s="53" t="s">
        <v>283</v>
      </c>
      <c r="N32" s="53" t="s">
        <v>204</v>
      </c>
      <c r="O32" s="55" t="s">
        <v>284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6.5" customHeight="1" x14ac:dyDescent="0.3">
      <c r="A33" s="5"/>
      <c r="B33" s="53" t="s">
        <v>257</v>
      </c>
      <c r="C33" s="53" t="s">
        <v>285</v>
      </c>
      <c r="D33" s="54" t="s">
        <v>286</v>
      </c>
      <c r="E33" s="53" t="s">
        <v>287</v>
      </c>
      <c r="F33" s="53" t="s">
        <v>293</v>
      </c>
      <c r="G33" s="54" t="s">
        <v>288</v>
      </c>
      <c r="H33" s="53" t="s">
        <v>64</v>
      </c>
      <c r="I33" s="6">
        <v>3</v>
      </c>
      <c r="J33" s="7">
        <v>46217</v>
      </c>
      <c r="K33" s="53" t="s">
        <v>41</v>
      </c>
      <c r="L33" s="53" t="s">
        <v>23</v>
      </c>
      <c r="M33" s="53" t="s">
        <v>289</v>
      </c>
      <c r="N33" s="53" t="s">
        <v>290</v>
      </c>
      <c r="O33" s="55" t="s">
        <v>291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2.25" customHeight="1" x14ac:dyDescent="0.3">
      <c r="A34" s="5"/>
      <c r="B34" s="53" t="s">
        <v>176</v>
      </c>
      <c r="C34" s="53" t="s">
        <v>219</v>
      </c>
      <c r="D34" s="54" t="s">
        <v>220</v>
      </c>
      <c r="E34" s="53" t="s">
        <v>221</v>
      </c>
      <c r="F34" s="6" t="s">
        <v>19</v>
      </c>
      <c r="G34" s="54" t="s">
        <v>222</v>
      </c>
      <c r="H34" s="53" t="s">
        <v>40</v>
      </c>
      <c r="I34" s="6">
        <v>9</v>
      </c>
      <c r="J34" s="7">
        <v>46217</v>
      </c>
      <c r="K34" s="6" t="s">
        <v>22</v>
      </c>
      <c r="L34" s="6" t="s">
        <v>23</v>
      </c>
      <c r="M34" s="53" t="s">
        <v>223</v>
      </c>
      <c r="N34" s="53" t="s">
        <v>224</v>
      </c>
      <c r="O34" s="55" t="s">
        <v>225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3" customHeight="1" x14ac:dyDescent="0.3">
      <c r="A35" s="5"/>
      <c r="B35" s="53" t="s">
        <v>215</v>
      </c>
      <c r="C35" s="53" t="s">
        <v>226</v>
      </c>
      <c r="D35" s="54" t="s">
        <v>227</v>
      </c>
      <c r="E35" s="53" t="s">
        <v>228</v>
      </c>
      <c r="F35" s="6" t="s">
        <v>19</v>
      </c>
      <c r="G35" s="54" t="s">
        <v>229</v>
      </c>
      <c r="H35" s="6" t="s">
        <v>40</v>
      </c>
      <c r="I35" s="6">
        <v>4</v>
      </c>
      <c r="J35" s="7">
        <v>46217</v>
      </c>
      <c r="K35" s="6" t="s">
        <v>22</v>
      </c>
      <c r="L35" s="6" t="s">
        <v>23</v>
      </c>
      <c r="M35" s="53" t="s">
        <v>230</v>
      </c>
      <c r="N35" s="53" t="s">
        <v>212</v>
      </c>
      <c r="O35" s="55" t="s">
        <v>231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4" customHeight="1" x14ac:dyDescent="0.3">
      <c r="A36" s="5"/>
      <c r="B36" s="53" t="s">
        <v>216</v>
      </c>
      <c r="C36" s="53" t="s">
        <v>232</v>
      </c>
      <c r="D36" s="54" t="s">
        <v>233</v>
      </c>
      <c r="E36" s="53" t="s">
        <v>234</v>
      </c>
      <c r="F36" s="6" t="s">
        <v>19</v>
      </c>
      <c r="G36" s="54" t="s">
        <v>235</v>
      </c>
      <c r="H36" s="6" t="s">
        <v>40</v>
      </c>
      <c r="I36" s="6">
        <v>4</v>
      </c>
      <c r="J36" s="7">
        <v>46217</v>
      </c>
      <c r="K36" s="53" t="s">
        <v>41</v>
      </c>
      <c r="L36" s="6" t="s">
        <v>23</v>
      </c>
      <c r="M36" s="53" t="s">
        <v>236</v>
      </c>
      <c r="N36" s="53" t="s">
        <v>237</v>
      </c>
      <c r="O36" s="55" t="s">
        <v>238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4.5" customHeight="1" x14ac:dyDescent="0.3">
      <c r="A37" s="5"/>
      <c r="B37" s="53" t="s">
        <v>217</v>
      </c>
      <c r="C37" s="53" t="s">
        <v>239</v>
      </c>
      <c r="D37" s="54" t="s">
        <v>240</v>
      </c>
      <c r="E37" s="53" t="s">
        <v>241</v>
      </c>
      <c r="F37" s="6" t="s">
        <v>19</v>
      </c>
      <c r="G37" s="54" t="s">
        <v>242</v>
      </c>
      <c r="H37" s="6" t="s">
        <v>40</v>
      </c>
      <c r="I37" s="6">
        <v>4</v>
      </c>
      <c r="J37" s="7">
        <v>46217</v>
      </c>
      <c r="K37" s="53" t="s">
        <v>41</v>
      </c>
      <c r="L37" s="6" t="s">
        <v>23</v>
      </c>
      <c r="M37" s="53" t="s">
        <v>243</v>
      </c>
      <c r="N37" s="53" t="s">
        <v>244</v>
      </c>
      <c r="O37" s="55" t="s">
        <v>245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9.75" customHeight="1" x14ac:dyDescent="0.3">
      <c r="A38" s="5"/>
      <c r="B38" s="53" t="s">
        <v>218</v>
      </c>
      <c r="C38" s="53" t="s">
        <v>252</v>
      </c>
      <c r="D38" s="54" t="s">
        <v>251</v>
      </c>
      <c r="E38" s="53" t="s">
        <v>250</v>
      </c>
      <c r="F38" s="6" t="s">
        <v>19</v>
      </c>
      <c r="G38" s="54" t="s">
        <v>249</v>
      </c>
      <c r="H38" s="6" t="s">
        <v>40</v>
      </c>
      <c r="I38" s="6">
        <v>6</v>
      </c>
      <c r="J38" s="7">
        <v>46217</v>
      </c>
      <c r="K38" s="53" t="s">
        <v>22</v>
      </c>
      <c r="L38" s="6" t="s">
        <v>23</v>
      </c>
      <c r="M38" s="53" t="s">
        <v>248</v>
      </c>
      <c r="N38" s="53" t="s">
        <v>247</v>
      </c>
      <c r="O38" s="55" t="s">
        <v>246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6.5" customHeight="1" x14ac:dyDescent="0.3">
      <c r="A39" s="5"/>
      <c r="B39" s="53" t="s">
        <v>294</v>
      </c>
      <c r="C39" s="53" t="s">
        <v>295</v>
      </c>
      <c r="D39" s="54" t="s">
        <v>296</v>
      </c>
      <c r="E39" s="53" t="s">
        <v>297</v>
      </c>
      <c r="F39" s="6" t="s">
        <v>19</v>
      </c>
      <c r="G39" s="54" t="s">
        <v>298</v>
      </c>
      <c r="H39" s="6" t="s">
        <v>21</v>
      </c>
      <c r="I39" s="6">
        <v>11</v>
      </c>
      <c r="J39" s="7">
        <v>46217</v>
      </c>
      <c r="K39" s="53" t="s">
        <v>22</v>
      </c>
      <c r="L39" s="6" t="s">
        <v>23</v>
      </c>
      <c r="M39" s="53" t="s">
        <v>299</v>
      </c>
      <c r="N39" s="53" t="s">
        <v>300</v>
      </c>
      <c r="O39" s="55" t="s">
        <v>301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6.25" customHeight="1" x14ac:dyDescent="0.3">
      <c r="A40" s="5"/>
      <c r="B40" s="53" t="s">
        <v>302</v>
      </c>
      <c r="C40" s="53" t="s">
        <v>306</v>
      </c>
      <c r="D40" s="54" t="s">
        <v>307</v>
      </c>
      <c r="E40" s="53" t="s">
        <v>308</v>
      </c>
      <c r="F40" s="6" t="s">
        <v>19</v>
      </c>
      <c r="G40" s="54" t="s">
        <v>249</v>
      </c>
      <c r="H40" s="6" t="s">
        <v>21</v>
      </c>
      <c r="I40" s="6">
        <v>5</v>
      </c>
      <c r="J40" s="7">
        <v>46217</v>
      </c>
      <c r="K40" s="53" t="s">
        <v>22</v>
      </c>
      <c r="L40" s="6" t="s">
        <v>23</v>
      </c>
      <c r="M40" s="53" t="s">
        <v>309</v>
      </c>
      <c r="N40" s="53" t="s">
        <v>310</v>
      </c>
      <c r="O40" s="55" t="s">
        <v>311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6" customHeight="1" x14ac:dyDescent="0.3">
      <c r="A41" s="5"/>
      <c r="B41" s="53" t="s">
        <v>303</v>
      </c>
      <c r="C41" s="53" t="s">
        <v>312</v>
      </c>
      <c r="D41" s="54" t="s">
        <v>313</v>
      </c>
      <c r="E41" s="53" t="s">
        <v>314</v>
      </c>
      <c r="F41" s="6" t="s">
        <v>19</v>
      </c>
      <c r="G41" s="54" t="s">
        <v>315</v>
      </c>
      <c r="H41" s="6" t="s">
        <v>21</v>
      </c>
      <c r="I41" s="6">
        <v>4</v>
      </c>
      <c r="J41" s="7">
        <v>46217</v>
      </c>
      <c r="K41" s="53" t="s">
        <v>22</v>
      </c>
      <c r="L41" s="6" t="s">
        <v>23</v>
      </c>
      <c r="M41" s="53" t="s">
        <v>316</v>
      </c>
      <c r="N41" s="53" t="s">
        <v>317</v>
      </c>
      <c r="O41" s="55" t="s">
        <v>318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4" customHeight="1" x14ac:dyDescent="0.3">
      <c r="A42" s="5"/>
      <c r="B42" s="53" t="s">
        <v>304</v>
      </c>
      <c r="C42" s="53" t="s">
        <v>319</v>
      </c>
      <c r="D42" s="54" t="s">
        <v>320</v>
      </c>
      <c r="E42" s="53" t="s">
        <v>321</v>
      </c>
      <c r="F42" s="6" t="s">
        <v>19</v>
      </c>
      <c r="G42" s="54" t="s">
        <v>322</v>
      </c>
      <c r="H42" s="6" t="s">
        <v>21</v>
      </c>
      <c r="I42" s="6">
        <v>4</v>
      </c>
      <c r="J42" s="7">
        <v>46217</v>
      </c>
      <c r="K42" s="53" t="s">
        <v>22</v>
      </c>
      <c r="L42" s="6" t="s">
        <v>23</v>
      </c>
      <c r="M42" s="53" t="s">
        <v>323</v>
      </c>
      <c r="N42" s="53" t="s">
        <v>324</v>
      </c>
      <c r="O42" s="55" t="s">
        <v>325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0" customHeight="1" x14ac:dyDescent="0.3">
      <c r="A43" s="5"/>
      <c r="B43" s="53" t="s">
        <v>305</v>
      </c>
      <c r="C43" s="53" t="s">
        <v>326</v>
      </c>
      <c r="D43" s="54" t="s">
        <v>327</v>
      </c>
      <c r="E43" s="53" t="s">
        <v>328</v>
      </c>
      <c r="F43" s="6" t="s">
        <v>19</v>
      </c>
      <c r="G43" s="54" t="s">
        <v>329</v>
      </c>
      <c r="H43" s="6" t="s">
        <v>21</v>
      </c>
      <c r="I43" s="6">
        <v>4</v>
      </c>
      <c r="J43" s="7">
        <v>46217</v>
      </c>
      <c r="K43" s="53" t="s">
        <v>22</v>
      </c>
      <c r="L43" s="6" t="s">
        <v>23</v>
      </c>
      <c r="M43" s="53" t="s">
        <v>330</v>
      </c>
      <c r="N43" s="53" t="s">
        <v>331</v>
      </c>
      <c r="O43" s="55" t="s">
        <v>332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0" customHeight="1" x14ac:dyDescent="0.3">
      <c r="A44" s="5"/>
      <c r="B44" s="5"/>
      <c r="C44" s="5"/>
      <c r="D44" s="5"/>
      <c r="E44" s="5"/>
      <c r="F44" s="5"/>
      <c r="G44" s="5"/>
      <c r="H44" s="5"/>
      <c r="I44" s="13"/>
      <c r="J44" s="13"/>
      <c r="K44" s="14"/>
      <c r="L44" s="1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13"/>
      <c r="J45" s="13"/>
      <c r="K45" s="14"/>
      <c r="L45" s="1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13"/>
      <c r="J46" s="13"/>
      <c r="K46" s="14"/>
      <c r="L46" s="1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13"/>
      <c r="J47" s="13"/>
      <c r="K47" s="14"/>
      <c r="L47" s="1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13"/>
      <c r="J48" s="13"/>
      <c r="K48" s="14"/>
      <c r="L48" s="1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13"/>
      <c r="J49" s="13"/>
      <c r="K49" s="14"/>
      <c r="L49" s="1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13"/>
      <c r="J50" s="13"/>
      <c r="K50" s="14"/>
      <c r="L50" s="1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13"/>
      <c r="J51" s="13"/>
      <c r="K51" s="14" t="s">
        <v>22</v>
      </c>
      <c r="L51" s="14" t="s">
        <v>23</v>
      </c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13"/>
      <c r="J52" s="13"/>
      <c r="K52" s="14" t="s">
        <v>41</v>
      </c>
      <c r="L52" s="14" t="s">
        <v>116</v>
      </c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13"/>
      <c r="J53" s="13"/>
      <c r="K53" s="14" t="s">
        <v>73</v>
      </c>
      <c r="L53" s="14" t="s">
        <v>117</v>
      </c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13"/>
      <c r="J54" s="13"/>
      <c r="K54" s="14"/>
      <c r="L54" s="14" t="s">
        <v>118</v>
      </c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13"/>
      <c r="J55" s="13"/>
      <c r="K55" s="14"/>
      <c r="L55" s="1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13"/>
      <c r="J56" s="13"/>
      <c r="K56" s="14"/>
      <c r="L56" s="1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13"/>
      <c r="J57" s="13"/>
      <c r="K57" s="14"/>
      <c r="L57" s="1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13"/>
      <c r="J58" s="13"/>
      <c r="K58" s="14"/>
      <c r="L58" s="1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13"/>
      <c r="J59" s="13"/>
      <c r="K59" s="14"/>
      <c r="L59" s="1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13"/>
      <c r="J60" s="13"/>
      <c r="K60" s="14"/>
      <c r="L60" s="1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13"/>
      <c r="J61" s="13"/>
      <c r="K61" s="14"/>
      <c r="L61" s="1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13"/>
      <c r="J62" s="13"/>
      <c r="K62" s="14"/>
      <c r="L62" s="1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13"/>
      <c r="J63" s="13"/>
      <c r="K63" s="14"/>
      <c r="L63" s="1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13"/>
      <c r="J64" s="13"/>
      <c r="K64" s="14"/>
      <c r="L64" s="1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13"/>
      <c r="J65" s="13"/>
      <c r="K65" s="14"/>
      <c r="L65" s="1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13"/>
      <c r="J66" s="13"/>
      <c r="K66" s="14"/>
      <c r="L66" s="1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13"/>
      <c r="J67" s="13"/>
      <c r="K67" s="14"/>
      <c r="L67" s="1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13"/>
      <c r="J68" s="13"/>
      <c r="K68" s="14"/>
      <c r="L68" s="1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13"/>
      <c r="J69" s="13"/>
      <c r="K69" s="14"/>
      <c r="L69" s="1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13"/>
      <c r="J70" s="13"/>
      <c r="K70" s="14"/>
      <c r="L70" s="1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13"/>
      <c r="J71" s="13"/>
      <c r="K71" s="14"/>
      <c r="L71" s="1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13"/>
      <c r="J72" s="13"/>
      <c r="K72" s="14"/>
      <c r="L72" s="1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13"/>
      <c r="J73" s="13"/>
      <c r="K73" s="14"/>
      <c r="L73" s="1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13"/>
      <c r="J74" s="13"/>
      <c r="K74" s="14"/>
      <c r="L74" s="1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13"/>
      <c r="J75" s="13"/>
      <c r="K75" s="14"/>
      <c r="L75" s="1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13"/>
      <c r="J76" s="13"/>
      <c r="K76" s="14"/>
      <c r="L76" s="1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13"/>
      <c r="J77" s="13"/>
      <c r="K77" s="14"/>
      <c r="L77" s="1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13"/>
      <c r="J78" s="13"/>
      <c r="K78" s="14"/>
      <c r="L78" s="1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13"/>
      <c r="J79" s="13"/>
      <c r="K79" s="14"/>
      <c r="L79" s="1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13"/>
      <c r="J80" s="13"/>
      <c r="K80" s="14"/>
      <c r="L80" s="1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13"/>
      <c r="J81" s="13"/>
      <c r="K81" s="14"/>
      <c r="L81" s="1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13"/>
      <c r="J82" s="13"/>
      <c r="K82" s="14"/>
      <c r="L82" s="1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13"/>
      <c r="J83" s="13"/>
      <c r="K83" s="14"/>
      <c r="L83" s="1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13"/>
      <c r="J84" s="13"/>
      <c r="K84" s="14"/>
      <c r="L84" s="1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13"/>
      <c r="J85" s="13"/>
      <c r="K85" s="14"/>
      <c r="L85" s="1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13"/>
      <c r="J86" s="13"/>
      <c r="K86" s="14"/>
      <c r="L86" s="1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13"/>
      <c r="J87" s="13"/>
      <c r="K87" s="14"/>
      <c r="L87" s="1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13"/>
      <c r="J88" s="13"/>
      <c r="K88" s="14"/>
      <c r="L88" s="1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13"/>
      <c r="J89" s="13"/>
      <c r="K89" s="14"/>
      <c r="L89" s="1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13"/>
      <c r="J90" s="13"/>
      <c r="K90" s="14"/>
      <c r="L90" s="1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13"/>
      <c r="J91" s="13"/>
      <c r="K91" s="14"/>
      <c r="L91" s="1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13"/>
      <c r="J92" s="13"/>
      <c r="K92" s="14"/>
      <c r="L92" s="1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13"/>
      <c r="J93" s="13"/>
      <c r="K93" s="14"/>
      <c r="L93" s="1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13"/>
      <c r="J94" s="13"/>
      <c r="K94" s="14"/>
      <c r="L94" s="1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13"/>
      <c r="J95" s="13"/>
      <c r="K95" s="14"/>
      <c r="L95" s="1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13"/>
      <c r="J96" s="13"/>
      <c r="K96" s="14"/>
      <c r="L96" s="1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13"/>
      <c r="J97" s="13"/>
      <c r="K97" s="14"/>
      <c r="L97" s="1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13"/>
      <c r="J98" s="13"/>
      <c r="K98" s="14"/>
      <c r="L98" s="1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13"/>
      <c r="J99" s="13"/>
      <c r="K99" s="14"/>
      <c r="L99" s="1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13"/>
      <c r="J100" s="13"/>
      <c r="K100" s="14"/>
      <c r="L100" s="1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13"/>
      <c r="J101" s="13"/>
      <c r="K101" s="14"/>
      <c r="L101" s="1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13"/>
      <c r="J102" s="13"/>
      <c r="K102" s="14"/>
      <c r="L102" s="1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13"/>
      <c r="J103" s="13"/>
      <c r="K103" s="14"/>
      <c r="L103" s="1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13"/>
      <c r="J104" s="13"/>
      <c r="K104" s="14"/>
      <c r="L104" s="1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13"/>
      <c r="J105" s="13"/>
      <c r="K105" s="14"/>
      <c r="L105" s="1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13"/>
      <c r="J106" s="13"/>
      <c r="K106" s="14"/>
      <c r="L106" s="1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13"/>
      <c r="J107" s="13"/>
      <c r="K107" s="14"/>
      <c r="L107" s="1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13"/>
      <c r="J108" s="13"/>
      <c r="K108" s="14"/>
      <c r="L108" s="1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13"/>
      <c r="J109" s="13"/>
      <c r="K109" s="14"/>
      <c r="L109" s="1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13"/>
      <c r="J110" s="13"/>
      <c r="K110" s="14"/>
      <c r="L110" s="1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13"/>
      <c r="J111" s="13"/>
      <c r="K111" s="14"/>
      <c r="L111" s="1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13"/>
      <c r="J112" s="13"/>
      <c r="K112" s="14"/>
      <c r="L112" s="1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13"/>
      <c r="J113" s="13"/>
      <c r="K113" s="14"/>
      <c r="L113" s="1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13"/>
      <c r="J114" s="13"/>
      <c r="K114" s="14"/>
      <c r="L114" s="1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13"/>
      <c r="J115" s="13"/>
      <c r="K115" s="14"/>
      <c r="L115" s="1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13"/>
      <c r="J116" s="13"/>
      <c r="K116" s="14"/>
      <c r="L116" s="1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13"/>
      <c r="J117" s="13"/>
      <c r="K117" s="14"/>
      <c r="L117" s="1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13"/>
      <c r="J118" s="13"/>
      <c r="K118" s="14"/>
      <c r="L118" s="1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13"/>
      <c r="J119" s="13"/>
      <c r="K119" s="14"/>
      <c r="L119" s="1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13"/>
      <c r="J120" s="13"/>
      <c r="K120" s="14"/>
      <c r="L120" s="1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13"/>
      <c r="J121" s="13"/>
      <c r="K121" s="14"/>
      <c r="L121" s="1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13"/>
      <c r="J122" s="13"/>
      <c r="K122" s="14"/>
      <c r="L122" s="1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13"/>
      <c r="J123" s="13"/>
      <c r="K123" s="14"/>
      <c r="L123" s="1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13"/>
      <c r="J124" s="13"/>
      <c r="K124" s="14"/>
      <c r="L124" s="1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13"/>
      <c r="J125" s="13"/>
      <c r="K125" s="14"/>
      <c r="L125" s="1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13"/>
      <c r="J126" s="13"/>
      <c r="K126" s="14"/>
      <c r="L126" s="1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13"/>
      <c r="J127" s="13"/>
      <c r="K127" s="14"/>
      <c r="L127" s="1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13"/>
      <c r="J128" s="13"/>
      <c r="K128" s="14"/>
      <c r="L128" s="1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13"/>
      <c r="J129" s="13"/>
      <c r="K129" s="14"/>
      <c r="L129" s="1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13"/>
      <c r="J130" s="13"/>
      <c r="K130" s="14"/>
      <c r="L130" s="1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13"/>
      <c r="J131" s="13"/>
      <c r="K131" s="14"/>
      <c r="L131" s="1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13"/>
      <c r="J132" s="13"/>
      <c r="K132" s="14"/>
      <c r="L132" s="1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13"/>
      <c r="J133" s="13"/>
      <c r="K133" s="14"/>
      <c r="L133" s="1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13"/>
      <c r="J134" s="13"/>
      <c r="K134" s="14"/>
      <c r="L134" s="1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13"/>
      <c r="J135" s="13"/>
      <c r="K135" s="14"/>
      <c r="L135" s="1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13"/>
      <c r="J136" s="13"/>
      <c r="K136" s="14"/>
      <c r="L136" s="1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13"/>
      <c r="J137" s="13"/>
      <c r="K137" s="14"/>
      <c r="L137" s="1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13"/>
      <c r="J138" s="13"/>
      <c r="K138" s="14"/>
      <c r="L138" s="1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13"/>
      <c r="J139" s="13"/>
      <c r="K139" s="14"/>
      <c r="L139" s="1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13"/>
      <c r="J140" s="13"/>
      <c r="K140" s="14"/>
      <c r="L140" s="1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13"/>
      <c r="J141" s="13"/>
      <c r="K141" s="14"/>
      <c r="L141" s="1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13"/>
      <c r="J142" s="13"/>
      <c r="K142" s="14"/>
      <c r="L142" s="1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13"/>
      <c r="J143" s="13"/>
      <c r="K143" s="14"/>
      <c r="L143" s="1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13"/>
      <c r="J144" s="13"/>
      <c r="K144" s="14"/>
      <c r="L144" s="1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13"/>
      <c r="J145" s="13"/>
      <c r="K145" s="14"/>
      <c r="L145" s="1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13"/>
      <c r="J146" s="13"/>
      <c r="K146" s="14"/>
      <c r="L146" s="1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13"/>
      <c r="J147" s="13"/>
      <c r="K147" s="14"/>
      <c r="L147" s="1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13"/>
      <c r="J148" s="13"/>
      <c r="K148" s="14"/>
      <c r="L148" s="1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13"/>
      <c r="J149" s="13"/>
      <c r="K149" s="14"/>
      <c r="L149" s="1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13"/>
      <c r="J150" s="13"/>
      <c r="K150" s="14"/>
      <c r="L150" s="1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13"/>
      <c r="J151" s="13"/>
      <c r="K151" s="14"/>
      <c r="L151" s="1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13"/>
      <c r="J152" s="13"/>
      <c r="K152" s="14"/>
      <c r="L152" s="1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13"/>
      <c r="J153" s="13"/>
      <c r="K153" s="14"/>
      <c r="L153" s="1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13"/>
      <c r="J154" s="13"/>
      <c r="K154" s="14"/>
      <c r="L154" s="1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13"/>
      <c r="J155" s="13"/>
      <c r="K155" s="14"/>
      <c r="L155" s="1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13"/>
      <c r="J156" s="13"/>
      <c r="K156" s="14"/>
      <c r="L156" s="1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13"/>
      <c r="J157" s="13"/>
      <c r="K157" s="14"/>
      <c r="L157" s="1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13"/>
      <c r="J158" s="13"/>
      <c r="K158" s="14"/>
      <c r="L158" s="1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13"/>
      <c r="J159" s="13"/>
      <c r="K159" s="14"/>
      <c r="L159" s="1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13"/>
      <c r="J160" s="13"/>
      <c r="K160" s="14"/>
      <c r="L160" s="1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13"/>
      <c r="J161" s="13"/>
      <c r="K161" s="14"/>
      <c r="L161" s="1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13"/>
      <c r="J162" s="13"/>
      <c r="K162" s="14"/>
      <c r="L162" s="1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13"/>
      <c r="J163" s="13"/>
      <c r="K163" s="14"/>
      <c r="L163" s="1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13"/>
      <c r="J164" s="13"/>
      <c r="K164" s="14"/>
      <c r="L164" s="1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13"/>
      <c r="J165" s="13"/>
      <c r="K165" s="14"/>
      <c r="L165" s="1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13"/>
      <c r="J166" s="13"/>
      <c r="K166" s="14"/>
      <c r="L166" s="1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13"/>
      <c r="J167" s="13"/>
      <c r="K167" s="14"/>
      <c r="L167" s="1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13"/>
      <c r="J168" s="13"/>
      <c r="K168" s="14"/>
      <c r="L168" s="1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13"/>
      <c r="J169" s="13"/>
      <c r="K169" s="14"/>
      <c r="L169" s="1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13"/>
      <c r="J170" s="13"/>
      <c r="K170" s="14"/>
      <c r="L170" s="1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13"/>
      <c r="J171" s="13"/>
      <c r="K171" s="14"/>
      <c r="L171" s="1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13"/>
      <c r="J172" s="13"/>
      <c r="K172" s="14"/>
      <c r="L172" s="1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13"/>
      <c r="J173" s="13"/>
      <c r="K173" s="14"/>
      <c r="L173" s="1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13"/>
      <c r="J174" s="13"/>
      <c r="K174" s="14"/>
      <c r="L174" s="1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13"/>
      <c r="J175" s="13"/>
      <c r="K175" s="14"/>
      <c r="L175" s="1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13"/>
      <c r="J176" s="13"/>
      <c r="K176" s="14"/>
      <c r="L176" s="1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13"/>
      <c r="J177" s="13"/>
      <c r="K177" s="14"/>
      <c r="L177" s="1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13"/>
      <c r="J178" s="13"/>
      <c r="K178" s="14"/>
      <c r="L178" s="1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13"/>
      <c r="J179" s="13"/>
      <c r="K179" s="14"/>
      <c r="L179" s="1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13"/>
      <c r="J180" s="13"/>
      <c r="K180" s="14"/>
      <c r="L180" s="1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13"/>
      <c r="J181" s="13"/>
      <c r="K181" s="14"/>
      <c r="L181" s="1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13"/>
      <c r="J182" s="13"/>
      <c r="K182" s="14"/>
      <c r="L182" s="1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13"/>
      <c r="J183" s="13"/>
      <c r="K183" s="14"/>
      <c r="L183" s="1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13"/>
      <c r="J184" s="13"/>
      <c r="K184" s="14"/>
      <c r="L184" s="1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13"/>
      <c r="J185" s="13"/>
      <c r="K185" s="14"/>
      <c r="L185" s="1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13"/>
      <c r="J186" s="13"/>
      <c r="K186" s="14"/>
      <c r="L186" s="1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13"/>
      <c r="J187" s="13"/>
      <c r="K187" s="14"/>
      <c r="L187" s="1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13"/>
      <c r="J188" s="13"/>
      <c r="K188" s="14"/>
      <c r="L188" s="1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13"/>
      <c r="J189" s="13"/>
      <c r="K189" s="14"/>
      <c r="L189" s="1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13"/>
      <c r="J190" s="13"/>
      <c r="K190" s="14"/>
      <c r="L190" s="1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13"/>
      <c r="J191" s="13"/>
      <c r="K191" s="14"/>
      <c r="L191" s="1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13"/>
      <c r="J192" s="13"/>
      <c r="K192" s="14"/>
      <c r="L192" s="1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13"/>
      <c r="J193" s="13"/>
      <c r="K193" s="14"/>
      <c r="L193" s="1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13"/>
      <c r="J194" s="13"/>
      <c r="K194" s="14"/>
      <c r="L194" s="1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13"/>
      <c r="J195" s="13"/>
      <c r="K195" s="14"/>
      <c r="L195" s="1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13"/>
      <c r="J196" s="13"/>
      <c r="K196" s="14"/>
      <c r="L196" s="1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13"/>
      <c r="J197" s="13"/>
      <c r="K197" s="14"/>
      <c r="L197" s="1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13"/>
      <c r="J198" s="13"/>
      <c r="K198" s="14"/>
      <c r="L198" s="1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13"/>
      <c r="J199" s="13"/>
      <c r="K199" s="14"/>
      <c r="L199" s="1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13"/>
      <c r="J200" s="13"/>
      <c r="K200" s="14"/>
      <c r="L200" s="1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13"/>
      <c r="J201" s="13"/>
      <c r="K201" s="14"/>
      <c r="L201" s="1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13"/>
      <c r="J202" s="13"/>
      <c r="K202" s="14"/>
      <c r="L202" s="1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13"/>
      <c r="J203" s="13"/>
      <c r="K203" s="14"/>
      <c r="L203" s="1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13"/>
      <c r="J204" s="13"/>
      <c r="K204" s="14"/>
      <c r="L204" s="1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13"/>
      <c r="J205" s="13"/>
      <c r="K205" s="14"/>
      <c r="L205" s="1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13"/>
      <c r="J206" s="13"/>
      <c r="K206" s="14"/>
      <c r="L206" s="1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13"/>
      <c r="J207" s="13"/>
      <c r="K207" s="14"/>
      <c r="L207" s="1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13"/>
      <c r="J208" s="13"/>
      <c r="K208" s="14"/>
      <c r="L208" s="1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13"/>
      <c r="J209" s="13"/>
      <c r="K209" s="14"/>
      <c r="L209" s="1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13"/>
      <c r="J210" s="13"/>
      <c r="K210" s="14"/>
      <c r="L210" s="1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13"/>
      <c r="J211" s="13"/>
      <c r="K211" s="14"/>
      <c r="L211" s="1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13"/>
      <c r="J212" s="13"/>
      <c r="K212" s="14"/>
      <c r="L212" s="1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13"/>
      <c r="J213" s="13"/>
      <c r="K213" s="14"/>
      <c r="L213" s="1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13"/>
      <c r="J214" s="13"/>
      <c r="K214" s="14"/>
      <c r="L214" s="1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13"/>
      <c r="J215" s="13"/>
      <c r="K215" s="14"/>
      <c r="L215" s="1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13"/>
      <c r="J216" s="13"/>
      <c r="K216" s="14"/>
      <c r="L216" s="1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13"/>
      <c r="J217" s="13"/>
      <c r="K217" s="14"/>
      <c r="L217" s="1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13"/>
      <c r="J218" s="13"/>
      <c r="K218" s="14"/>
      <c r="L218" s="1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13"/>
      <c r="J219" s="13"/>
      <c r="K219" s="14"/>
      <c r="L219" s="1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13"/>
      <c r="J220" s="13"/>
      <c r="K220" s="14"/>
      <c r="L220" s="1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13"/>
      <c r="J221" s="13"/>
      <c r="K221" s="14"/>
      <c r="L221" s="1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13"/>
      <c r="J222" s="13"/>
      <c r="K222" s="14"/>
      <c r="L222" s="1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13"/>
      <c r="J223" s="13"/>
      <c r="K223" s="14"/>
      <c r="L223" s="1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13"/>
      <c r="J224" s="13"/>
      <c r="K224" s="14"/>
      <c r="L224" s="1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13"/>
      <c r="J225" s="13"/>
      <c r="K225" s="14"/>
      <c r="L225" s="1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13"/>
      <c r="J226" s="13"/>
      <c r="K226" s="14"/>
      <c r="L226" s="1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13"/>
      <c r="J227" s="13"/>
      <c r="K227" s="14"/>
      <c r="L227" s="1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13"/>
      <c r="J228" s="13"/>
      <c r="K228" s="14"/>
      <c r="L228" s="1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13"/>
      <c r="J229" s="13"/>
      <c r="K229" s="14"/>
      <c r="L229" s="1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13"/>
      <c r="J230" s="13"/>
      <c r="K230" s="14"/>
      <c r="L230" s="1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13"/>
      <c r="J231" s="13"/>
      <c r="K231" s="14"/>
      <c r="L231" s="1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13"/>
      <c r="J232" s="13"/>
      <c r="K232" s="14"/>
      <c r="L232" s="1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13"/>
      <c r="J233" s="13"/>
      <c r="K233" s="14"/>
      <c r="L233" s="13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13"/>
      <c r="J234" s="13"/>
      <c r="K234" s="14"/>
      <c r="L234" s="13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13"/>
      <c r="J235" s="13"/>
      <c r="K235" s="14"/>
      <c r="L235" s="13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13"/>
      <c r="J236" s="13"/>
      <c r="K236" s="14"/>
      <c r="L236" s="13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13"/>
      <c r="J237" s="13"/>
      <c r="K237" s="14"/>
      <c r="L237" s="13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13"/>
      <c r="J238" s="13"/>
      <c r="K238" s="14"/>
      <c r="L238" s="13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13"/>
      <c r="J239" s="13"/>
      <c r="K239" s="14"/>
      <c r="L239" s="13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13"/>
      <c r="J240" s="13"/>
      <c r="K240" s="14"/>
      <c r="L240" s="13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13"/>
      <c r="J241" s="13"/>
      <c r="K241" s="14"/>
      <c r="L241" s="13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13"/>
      <c r="J242" s="13"/>
      <c r="K242" s="14"/>
      <c r="L242" s="13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13"/>
      <c r="J243" s="13"/>
      <c r="K243" s="14"/>
      <c r="L243" s="13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13"/>
      <c r="J244" s="13"/>
      <c r="K244" s="14"/>
      <c r="L244" s="13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13"/>
      <c r="J245" s="13"/>
      <c r="K245" s="14"/>
      <c r="L245" s="13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13"/>
      <c r="J246" s="13"/>
      <c r="K246" s="14"/>
      <c r="L246" s="13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13"/>
      <c r="J247" s="13"/>
      <c r="K247" s="14"/>
      <c r="L247" s="13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13"/>
      <c r="J248" s="13"/>
      <c r="K248" s="14"/>
      <c r="L248" s="13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13"/>
      <c r="J249" s="13"/>
      <c r="K249" s="14"/>
      <c r="L249" s="13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13"/>
      <c r="J250" s="13"/>
      <c r="K250" s="14"/>
      <c r="L250" s="13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13"/>
      <c r="J251" s="13"/>
      <c r="K251" s="14"/>
      <c r="L251" s="13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13"/>
      <c r="J252" s="13"/>
      <c r="K252" s="14"/>
      <c r="L252" s="13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13"/>
      <c r="J253" s="13"/>
      <c r="K253" s="14"/>
      <c r="L253" s="13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13"/>
      <c r="J254" s="13"/>
      <c r="K254" s="14"/>
      <c r="L254" s="13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13"/>
      <c r="J255" s="13"/>
      <c r="K255" s="14"/>
      <c r="L255" s="13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13"/>
      <c r="J256" s="13"/>
      <c r="K256" s="14"/>
      <c r="L256" s="13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13"/>
      <c r="J257" s="13"/>
      <c r="K257" s="14"/>
      <c r="L257" s="13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13"/>
      <c r="J258" s="13"/>
      <c r="K258" s="14"/>
      <c r="L258" s="13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13"/>
      <c r="J259" s="13"/>
      <c r="K259" s="14"/>
      <c r="L259" s="13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13"/>
      <c r="J260" s="13"/>
      <c r="K260" s="14"/>
      <c r="L260" s="13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13"/>
      <c r="J261" s="13"/>
      <c r="K261" s="14"/>
      <c r="L261" s="13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13"/>
      <c r="J262" s="13"/>
      <c r="K262" s="14"/>
      <c r="L262" s="13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13"/>
      <c r="J263" s="13"/>
      <c r="K263" s="14"/>
      <c r="L263" s="13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13"/>
      <c r="J264" s="13"/>
      <c r="K264" s="14"/>
      <c r="L264" s="13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13"/>
      <c r="J265" s="13"/>
      <c r="K265" s="14"/>
      <c r="L265" s="13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13"/>
      <c r="J266" s="13"/>
      <c r="K266" s="14"/>
      <c r="L266" s="13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13"/>
      <c r="J267" s="13"/>
      <c r="K267" s="14"/>
      <c r="L267" s="13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13"/>
      <c r="J268" s="13"/>
      <c r="K268" s="14"/>
      <c r="L268" s="13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13"/>
      <c r="J269" s="13"/>
      <c r="K269" s="14"/>
      <c r="L269" s="13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13"/>
      <c r="J270" s="13"/>
      <c r="K270" s="14"/>
      <c r="L270" s="13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13"/>
      <c r="J271" s="13"/>
      <c r="K271" s="14"/>
      <c r="L271" s="13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13"/>
      <c r="J272" s="13"/>
      <c r="K272" s="14"/>
      <c r="L272" s="13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13"/>
      <c r="J273" s="13"/>
      <c r="K273" s="14"/>
      <c r="L273" s="13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13"/>
      <c r="J274" s="13"/>
      <c r="K274" s="14"/>
      <c r="L274" s="13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13"/>
      <c r="J275" s="13"/>
      <c r="K275" s="14"/>
      <c r="L275" s="13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13"/>
      <c r="J276" s="13"/>
      <c r="K276" s="14"/>
      <c r="L276" s="13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13"/>
      <c r="J277" s="13"/>
      <c r="K277" s="14"/>
      <c r="L277" s="13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13"/>
      <c r="J278" s="13"/>
      <c r="K278" s="14"/>
      <c r="L278" s="13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13"/>
      <c r="J279" s="13"/>
      <c r="K279" s="14"/>
      <c r="L279" s="13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13"/>
      <c r="J280" s="13"/>
      <c r="K280" s="14"/>
      <c r="L280" s="13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13"/>
      <c r="J281" s="13"/>
      <c r="K281" s="14"/>
      <c r="L281" s="13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13"/>
      <c r="J282" s="13"/>
      <c r="K282" s="14"/>
      <c r="L282" s="13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13"/>
      <c r="J283" s="13"/>
      <c r="K283" s="14"/>
      <c r="L283" s="13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13"/>
      <c r="J284" s="13"/>
      <c r="K284" s="14"/>
      <c r="L284" s="13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13"/>
      <c r="J285" s="13"/>
      <c r="K285" s="14"/>
      <c r="L285" s="13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13"/>
      <c r="J286" s="13"/>
      <c r="K286" s="14"/>
      <c r="L286" s="13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13"/>
      <c r="J287" s="13"/>
      <c r="K287" s="14"/>
      <c r="L287" s="13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13"/>
      <c r="J288" s="13"/>
      <c r="K288" s="14"/>
      <c r="L288" s="13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13"/>
      <c r="J289" s="13"/>
      <c r="K289" s="14"/>
      <c r="L289" s="13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13"/>
      <c r="J290" s="13"/>
      <c r="K290" s="14"/>
      <c r="L290" s="13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13"/>
      <c r="J291" s="13"/>
      <c r="K291" s="14"/>
      <c r="L291" s="13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13"/>
      <c r="J292" s="13"/>
      <c r="K292" s="14"/>
      <c r="L292" s="13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13"/>
      <c r="J293" s="13"/>
      <c r="K293" s="14"/>
      <c r="L293" s="13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13"/>
      <c r="J294" s="13"/>
      <c r="K294" s="14"/>
      <c r="L294" s="13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13"/>
      <c r="J295" s="13"/>
      <c r="K295" s="14"/>
      <c r="L295" s="13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13"/>
      <c r="J296" s="13"/>
      <c r="K296" s="14"/>
      <c r="L296" s="13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13"/>
      <c r="J297" s="13"/>
      <c r="K297" s="14"/>
      <c r="L297" s="13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13"/>
      <c r="J298" s="13"/>
      <c r="K298" s="14"/>
      <c r="L298" s="13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13"/>
      <c r="J299" s="13"/>
      <c r="K299" s="14"/>
      <c r="L299" s="13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13"/>
      <c r="J300" s="13"/>
      <c r="K300" s="14"/>
      <c r="L300" s="13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13"/>
      <c r="J301" s="13"/>
      <c r="K301" s="14"/>
      <c r="L301" s="13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13"/>
      <c r="J302" s="13"/>
      <c r="K302" s="14"/>
      <c r="L302" s="13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13"/>
      <c r="J303" s="13"/>
      <c r="K303" s="14"/>
      <c r="L303" s="13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13"/>
      <c r="J304" s="13"/>
      <c r="K304" s="14"/>
      <c r="L304" s="13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13"/>
      <c r="J305" s="13"/>
      <c r="K305" s="14"/>
      <c r="L305" s="13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13"/>
      <c r="J306" s="13"/>
      <c r="K306" s="14"/>
      <c r="L306" s="13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13"/>
      <c r="J307" s="13"/>
      <c r="K307" s="14"/>
      <c r="L307" s="13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13"/>
      <c r="J308" s="13"/>
      <c r="K308" s="14"/>
      <c r="L308" s="13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13"/>
      <c r="J309" s="13"/>
      <c r="K309" s="14"/>
      <c r="L309" s="13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13"/>
      <c r="J310" s="13"/>
      <c r="K310" s="14"/>
      <c r="L310" s="13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13"/>
      <c r="J311" s="13"/>
      <c r="K311" s="14"/>
      <c r="L311" s="13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13"/>
      <c r="J312" s="13"/>
      <c r="K312" s="14"/>
      <c r="L312" s="13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13"/>
      <c r="J313" s="13"/>
      <c r="K313" s="14"/>
      <c r="L313" s="13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13"/>
      <c r="J314" s="13"/>
      <c r="K314" s="14"/>
      <c r="L314" s="13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13"/>
      <c r="J315" s="13"/>
      <c r="K315" s="14"/>
      <c r="L315" s="13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13"/>
      <c r="J316" s="13"/>
      <c r="K316" s="14"/>
      <c r="L316" s="13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13"/>
      <c r="J317" s="13"/>
      <c r="K317" s="14"/>
      <c r="L317" s="13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13"/>
      <c r="J318" s="13"/>
      <c r="K318" s="14"/>
      <c r="L318" s="13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13"/>
      <c r="J319" s="13"/>
      <c r="K319" s="14"/>
      <c r="L319" s="13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13"/>
      <c r="J320" s="13"/>
      <c r="K320" s="14"/>
      <c r="L320" s="13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13"/>
      <c r="J321" s="13"/>
      <c r="K321" s="14"/>
      <c r="L321" s="13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13"/>
      <c r="J322" s="13"/>
      <c r="K322" s="14"/>
      <c r="L322" s="13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13"/>
      <c r="J323" s="13"/>
      <c r="K323" s="14"/>
      <c r="L323" s="13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13"/>
      <c r="J324" s="13"/>
      <c r="K324" s="14"/>
      <c r="L324" s="13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13"/>
      <c r="J325" s="13"/>
      <c r="K325" s="14"/>
      <c r="L325" s="13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13"/>
      <c r="J326" s="13"/>
      <c r="K326" s="14"/>
      <c r="L326" s="13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13"/>
      <c r="J327" s="13"/>
      <c r="K327" s="14"/>
      <c r="L327" s="13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13"/>
      <c r="J328" s="13"/>
      <c r="K328" s="14"/>
      <c r="L328" s="13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13"/>
      <c r="J329" s="13"/>
      <c r="K329" s="14"/>
      <c r="L329" s="13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13"/>
      <c r="J330" s="13"/>
      <c r="K330" s="14"/>
      <c r="L330" s="13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13"/>
      <c r="J331" s="13"/>
      <c r="K331" s="14"/>
      <c r="L331" s="13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13"/>
      <c r="J332" s="13"/>
      <c r="K332" s="14"/>
      <c r="L332" s="13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13"/>
      <c r="J333" s="13"/>
      <c r="K333" s="14"/>
      <c r="L333" s="13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13"/>
      <c r="J334" s="13"/>
      <c r="K334" s="14"/>
      <c r="L334" s="13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13"/>
      <c r="J335" s="13"/>
      <c r="K335" s="14"/>
      <c r="L335" s="13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13"/>
      <c r="J336" s="13"/>
      <c r="K336" s="14"/>
      <c r="L336" s="13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13"/>
      <c r="J337" s="13"/>
      <c r="K337" s="14"/>
      <c r="L337" s="13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13"/>
      <c r="J338" s="13"/>
      <c r="K338" s="14"/>
      <c r="L338" s="13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13"/>
      <c r="J339" s="13"/>
      <c r="K339" s="14"/>
      <c r="L339" s="13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13"/>
      <c r="J340" s="13"/>
      <c r="K340" s="14"/>
      <c r="L340" s="13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13"/>
      <c r="J341" s="13"/>
      <c r="K341" s="14"/>
      <c r="L341" s="13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13"/>
      <c r="J342" s="13"/>
      <c r="K342" s="14"/>
      <c r="L342" s="13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13"/>
      <c r="J343" s="13"/>
      <c r="K343" s="14"/>
      <c r="L343" s="13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13"/>
      <c r="J344" s="13"/>
      <c r="K344" s="14"/>
      <c r="L344" s="13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13"/>
      <c r="J345" s="13"/>
      <c r="K345" s="14"/>
      <c r="L345" s="13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13"/>
      <c r="J346" s="13"/>
      <c r="K346" s="14"/>
      <c r="L346" s="13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13"/>
      <c r="J347" s="13"/>
      <c r="K347" s="14"/>
      <c r="L347" s="13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13"/>
      <c r="J348" s="13"/>
      <c r="K348" s="14"/>
      <c r="L348" s="13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13"/>
      <c r="J349" s="13"/>
      <c r="K349" s="14"/>
      <c r="L349" s="13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13"/>
      <c r="J350" s="13"/>
      <c r="K350" s="14"/>
      <c r="L350" s="13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13"/>
      <c r="J351" s="13"/>
      <c r="K351" s="14"/>
      <c r="L351" s="13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13"/>
      <c r="J352" s="13"/>
      <c r="K352" s="14"/>
      <c r="L352" s="13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13"/>
      <c r="J353" s="13"/>
      <c r="K353" s="14"/>
      <c r="L353" s="13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13"/>
      <c r="J354" s="13"/>
      <c r="K354" s="14"/>
      <c r="L354" s="13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13"/>
      <c r="J355" s="13"/>
      <c r="K355" s="14"/>
      <c r="L355" s="13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13"/>
      <c r="J356" s="13"/>
      <c r="K356" s="14"/>
      <c r="L356" s="13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13"/>
      <c r="J357" s="13"/>
      <c r="K357" s="14"/>
      <c r="L357" s="13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13"/>
      <c r="J358" s="13"/>
      <c r="K358" s="14"/>
      <c r="L358" s="13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13"/>
      <c r="J359" s="13"/>
      <c r="K359" s="14"/>
      <c r="L359" s="13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13"/>
      <c r="J360" s="13"/>
      <c r="K360" s="14"/>
      <c r="L360" s="13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13"/>
      <c r="J361" s="13"/>
      <c r="K361" s="14"/>
      <c r="L361" s="13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13"/>
      <c r="J362" s="13"/>
      <c r="K362" s="14"/>
      <c r="L362" s="13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13"/>
      <c r="J363" s="13"/>
      <c r="K363" s="14"/>
      <c r="L363" s="13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13"/>
      <c r="J364" s="13"/>
      <c r="K364" s="14"/>
      <c r="L364" s="13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13"/>
      <c r="J365" s="13"/>
      <c r="K365" s="14"/>
      <c r="L365" s="13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13"/>
      <c r="J366" s="13"/>
      <c r="K366" s="14"/>
      <c r="L366" s="13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13"/>
      <c r="J367" s="13"/>
      <c r="K367" s="14"/>
      <c r="L367" s="13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13"/>
      <c r="J368" s="13"/>
      <c r="K368" s="14"/>
      <c r="L368" s="13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13"/>
      <c r="J369" s="13"/>
      <c r="K369" s="14"/>
      <c r="L369" s="13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13"/>
      <c r="J370" s="13"/>
      <c r="K370" s="14"/>
      <c r="L370" s="13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13"/>
      <c r="J371" s="13"/>
      <c r="K371" s="14"/>
      <c r="L371" s="13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13"/>
      <c r="J372" s="13"/>
      <c r="K372" s="14"/>
      <c r="L372" s="13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13"/>
      <c r="J373" s="13"/>
      <c r="K373" s="14"/>
      <c r="L373" s="13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13"/>
      <c r="J374" s="13"/>
      <c r="K374" s="14"/>
      <c r="L374" s="13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13"/>
      <c r="J375" s="13"/>
      <c r="K375" s="14"/>
      <c r="L375" s="13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13"/>
      <c r="J376" s="13"/>
      <c r="K376" s="14"/>
      <c r="L376" s="13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13"/>
      <c r="J377" s="13"/>
      <c r="K377" s="14"/>
      <c r="L377" s="13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13"/>
      <c r="J378" s="13"/>
      <c r="K378" s="14"/>
      <c r="L378" s="13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13"/>
      <c r="J379" s="13"/>
      <c r="K379" s="14"/>
      <c r="L379" s="13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13"/>
      <c r="J380" s="13"/>
      <c r="K380" s="14"/>
      <c r="L380" s="13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13"/>
      <c r="J381" s="13"/>
      <c r="K381" s="14"/>
      <c r="L381" s="13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13"/>
      <c r="J382" s="13"/>
      <c r="K382" s="14"/>
      <c r="L382" s="13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13"/>
      <c r="J383" s="13"/>
      <c r="K383" s="14"/>
      <c r="L383" s="13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13"/>
      <c r="J384" s="13"/>
      <c r="K384" s="14"/>
      <c r="L384" s="13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13"/>
      <c r="J385" s="13"/>
      <c r="K385" s="14"/>
      <c r="L385" s="13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13"/>
      <c r="J386" s="13"/>
      <c r="K386" s="14"/>
      <c r="L386" s="13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13"/>
      <c r="J387" s="13"/>
      <c r="K387" s="14"/>
      <c r="L387" s="13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13"/>
      <c r="J388" s="13"/>
      <c r="K388" s="14"/>
      <c r="L388" s="13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13"/>
      <c r="J389" s="13"/>
      <c r="K389" s="14"/>
      <c r="L389" s="13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13"/>
      <c r="J390" s="13"/>
      <c r="K390" s="14"/>
      <c r="L390" s="13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13"/>
      <c r="J391" s="13"/>
      <c r="K391" s="14"/>
      <c r="L391" s="13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13"/>
      <c r="J392" s="13"/>
      <c r="K392" s="14"/>
      <c r="L392" s="13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13"/>
      <c r="J393" s="13"/>
      <c r="K393" s="14"/>
      <c r="L393" s="13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13"/>
      <c r="J394" s="13"/>
      <c r="K394" s="14"/>
      <c r="L394" s="13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13"/>
      <c r="J395" s="13"/>
      <c r="K395" s="14"/>
      <c r="L395" s="13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13"/>
      <c r="J396" s="13"/>
      <c r="K396" s="14"/>
      <c r="L396" s="13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13"/>
      <c r="J397" s="13"/>
      <c r="K397" s="14"/>
      <c r="L397" s="13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13"/>
      <c r="J398" s="13"/>
      <c r="K398" s="14"/>
      <c r="L398" s="13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13"/>
      <c r="J399" s="13"/>
      <c r="K399" s="14"/>
      <c r="L399" s="13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13"/>
      <c r="J400" s="13"/>
      <c r="K400" s="14"/>
      <c r="L400" s="13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13"/>
      <c r="J401" s="13"/>
      <c r="K401" s="14"/>
      <c r="L401" s="13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13"/>
      <c r="J402" s="13"/>
      <c r="K402" s="14"/>
      <c r="L402" s="13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13"/>
      <c r="J403" s="13"/>
      <c r="K403" s="14"/>
      <c r="L403" s="13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13"/>
      <c r="J404" s="13"/>
      <c r="K404" s="14"/>
      <c r="L404" s="13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13"/>
      <c r="J405" s="13"/>
      <c r="K405" s="14"/>
      <c r="L405" s="13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13"/>
      <c r="J406" s="13"/>
      <c r="K406" s="14"/>
      <c r="L406" s="13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13"/>
      <c r="J407" s="13"/>
      <c r="K407" s="14"/>
      <c r="L407" s="13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13"/>
      <c r="J408" s="13"/>
      <c r="K408" s="14"/>
      <c r="L408" s="13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13"/>
      <c r="J409" s="13"/>
      <c r="K409" s="14"/>
      <c r="L409" s="13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13"/>
      <c r="J410" s="13"/>
      <c r="K410" s="14"/>
      <c r="L410" s="13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13"/>
      <c r="J411" s="13"/>
      <c r="K411" s="14"/>
      <c r="L411" s="13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13"/>
      <c r="J412" s="13"/>
      <c r="K412" s="14"/>
      <c r="L412" s="13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13"/>
      <c r="J413" s="13"/>
      <c r="K413" s="14"/>
      <c r="L413" s="13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13"/>
      <c r="J414" s="13"/>
      <c r="K414" s="14"/>
      <c r="L414" s="13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13"/>
      <c r="J415" s="13"/>
      <c r="K415" s="14"/>
      <c r="L415" s="13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13"/>
      <c r="J416" s="13"/>
      <c r="K416" s="14"/>
      <c r="L416" s="13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13"/>
      <c r="J417" s="13"/>
      <c r="K417" s="14"/>
      <c r="L417" s="13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13"/>
      <c r="J418" s="13"/>
      <c r="K418" s="14"/>
      <c r="L418" s="13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13"/>
      <c r="J419" s="13"/>
      <c r="K419" s="14"/>
      <c r="L419" s="13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13"/>
      <c r="J420" s="13"/>
      <c r="K420" s="14"/>
      <c r="L420" s="13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13"/>
      <c r="J421" s="13"/>
      <c r="K421" s="14"/>
      <c r="L421" s="13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13"/>
      <c r="J422" s="13"/>
      <c r="K422" s="14"/>
      <c r="L422" s="13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13"/>
      <c r="J423" s="13"/>
      <c r="K423" s="14"/>
      <c r="L423" s="13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13"/>
      <c r="J424" s="13"/>
      <c r="K424" s="14"/>
      <c r="L424" s="13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13"/>
      <c r="J425" s="13"/>
      <c r="K425" s="14"/>
      <c r="L425" s="13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13"/>
      <c r="J426" s="13"/>
      <c r="K426" s="14"/>
      <c r="L426" s="13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13"/>
      <c r="J427" s="13"/>
      <c r="K427" s="14"/>
      <c r="L427" s="13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13"/>
      <c r="J428" s="13"/>
      <c r="K428" s="14"/>
      <c r="L428" s="13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13"/>
      <c r="J429" s="13"/>
      <c r="K429" s="14"/>
      <c r="L429" s="13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13"/>
      <c r="J430" s="13"/>
      <c r="K430" s="14"/>
      <c r="L430" s="13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13"/>
      <c r="J431" s="13"/>
      <c r="K431" s="14"/>
      <c r="L431" s="13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13"/>
      <c r="J432" s="13"/>
      <c r="K432" s="14"/>
      <c r="L432" s="13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13"/>
      <c r="J433" s="13"/>
      <c r="K433" s="14"/>
      <c r="L433" s="13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13"/>
      <c r="J434" s="13"/>
      <c r="K434" s="14"/>
      <c r="L434" s="13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13"/>
      <c r="J435" s="13"/>
      <c r="K435" s="14"/>
      <c r="L435" s="13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13"/>
      <c r="J436" s="13"/>
      <c r="K436" s="14"/>
      <c r="L436" s="13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13"/>
      <c r="J437" s="13"/>
      <c r="K437" s="14"/>
      <c r="L437" s="13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13"/>
      <c r="J438" s="13"/>
      <c r="K438" s="14"/>
      <c r="L438" s="13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13"/>
      <c r="J439" s="13"/>
      <c r="K439" s="14"/>
      <c r="L439" s="13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13"/>
      <c r="J440" s="13"/>
      <c r="K440" s="14"/>
      <c r="L440" s="13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13"/>
      <c r="J441" s="13"/>
      <c r="K441" s="14"/>
      <c r="L441" s="13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13"/>
      <c r="J442" s="13"/>
      <c r="K442" s="14"/>
      <c r="L442" s="13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13"/>
      <c r="J443" s="13"/>
      <c r="K443" s="14"/>
      <c r="L443" s="13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13"/>
      <c r="J444" s="13"/>
      <c r="K444" s="14"/>
      <c r="L444" s="13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13"/>
      <c r="J445" s="13"/>
      <c r="K445" s="14"/>
      <c r="L445" s="13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13"/>
      <c r="J446" s="13"/>
      <c r="K446" s="14"/>
      <c r="L446" s="13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13"/>
      <c r="J447" s="13"/>
      <c r="K447" s="14"/>
      <c r="L447" s="13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13"/>
      <c r="J448" s="13"/>
      <c r="K448" s="14"/>
      <c r="L448" s="13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13"/>
      <c r="J449" s="13"/>
      <c r="K449" s="14"/>
      <c r="L449" s="13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13"/>
      <c r="J450" s="13"/>
      <c r="K450" s="14"/>
      <c r="L450" s="13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13"/>
      <c r="J451" s="13"/>
      <c r="K451" s="14"/>
      <c r="L451" s="13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13"/>
      <c r="J452" s="13"/>
      <c r="K452" s="14"/>
      <c r="L452" s="13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13"/>
      <c r="J453" s="13"/>
      <c r="K453" s="14"/>
      <c r="L453" s="13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13"/>
      <c r="J454" s="13"/>
      <c r="K454" s="14"/>
      <c r="L454" s="13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13"/>
      <c r="J455" s="13"/>
      <c r="K455" s="14"/>
      <c r="L455" s="13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13"/>
      <c r="J456" s="13"/>
      <c r="K456" s="14"/>
      <c r="L456" s="13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13"/>
      <c r="J457" s="13"/>
      <c r="K457" s="14"/>
      <c r="L457" s="13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13"/>
      <c r="J458" s="13"/>
      <c r="K458" s="14"/>
      <c r="L458" s="13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13"/>
      <c r="J459" s="13"/>
      <c r="K459" s="14"/>
      <c r="L459" s="13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13"/>
      <c r="J460" s="13"/>
      <c r="K460" s="14"/>
      <c r="L460" s="13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13"/>
      <c r="J461" s="13"/>
      <c r="K461" s="14"/>
      <c r="L461" s="13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13"/>
      <c r="J462" s="13"/>
      <c r="K462" s="14"/>
      <c r="L462" s="13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13"/>
      <c r="J463" s="13"/>
      <c r="K463" s="14"/>
      <c r="L463" s="13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13"/>
      <c r="J464" s="13"/>
      <c r="K464" s="14"/>
      <c r="L464" s="13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13"/>
      <c r="J465" s="13"/>
      <c r="K465" s="14"/>
      <c r="L465" s="13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13"/>
      <c r="J466" s="13"/>
      <c r="K466" s="14"/>
      <c r="L466" s="13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13"/>
      <c r="J467" s="13"/>
      <c r="K467" s="14"/>
      <c r="L467" s="13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13"/>
      <c r="J468" s="13"/>
      <c r="K468" s="14"/>
      <c r="L468" s="13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13"/>
      <c r="J469" s="13"/>
      <c r="K469" s="14"/>
      <c r="L469" s="13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13"/>
      <c r="J470" s="13"/>
      <c r="K470" s="14"/>
      <c r="L470" s="13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13"/>
      <c r="J471" s="13"/>
      <c r="K471" s="14"/>
      <c r="L471" s="13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13"/>
      <c r="J472" s="13"/>
      <c r="K472" s="14"/>
      <c r="L472" s="13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13"/>
      <c r="J473" s="13"/>
      <c r="K473" s="14"/>
      <c r="L473" s="13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13"/>
      <c r="J474" s="13"/>
      <c r="K474" s="14"/>
      <c r="L474" s="13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13"/>
      <c r="J475" s="13"/>
      <c r="K475" s="14"/>
      <c r="L475" s="13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13"/>
      <c r="J476" s="13"/>
      <c r="K476" s="14"/>
      <c r="L476" s="13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13"/>
      <c r="J477" s="13"/>
      <c r="K477" s="14"/>
      <c r="L477" s="13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13"/>
      <c r="J478" s="13"/>
      <c r="K478" s="14"/>
      <c r="L478" s="13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13"/>
      <c r="J479" s="13"/>
      <c r="K479" s="14"/>
      <c r="L479" s="13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13"/>
      <c r="J480" s="13"/>
      <c r="K480" s="14"/>
      <c r="L480" s="13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13"/>
      <c r="J481" s="13"/>
      <c r="K481" s="14"/>
      <c r="L481" s="13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13"/>
      <c r="J482" s="13"/>
      <c r="K482" s="14"/>
      <c r="L482" s="13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13"/>
      <c r="J483" s="13"/>
      <c r="K483" s="14"/>
      <c r="L483" s="13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13"/>
      <c r="J484" s="13"/>
      <c r="K484" s="14"/>
      <c r="L484" s="13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13"/>
      <c r="J485" s="13"/>
      <c r="K485" s="14"/>
      <c r="L485" s="13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13"/>
      <c r="J486" s="13"/>
      <c r="K486" s="14"/>
      <c r="L486" s="13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13"/>
      <c r="J487" s="13"/>
      <c r="K487" s="14"/>
      <c r="L487" s="13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13"/>
      <c r="J488" s="13"/>
      <c r="K488" s="14"/>
      <c r="L488" s="13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13"/>
      <c r="J489" s="13"/>
      <c r="K489" s="14"/>
      <c r="L489" s="13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13"/>
      <c r="J490" s="13"/>
      <c r="K490" s="14"/>
      <c r="L490" s="13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13"/>
      <c r="J491" s="13"/>
      <c r="K491" s="14"/>
      <c r="L491" s="13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13"/>
      <c r="J492" s="13"/>
      <c r="K492" s="14"/>
      <c r="L492" s="13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13"/>
      <c r="J493" s="13"/>
      <c r="K493" s="14"/>
      <c r="L493" s="13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13"/>
      <c r="J494" s="13"/>
      <c r="K494" s="14"/>
      <c r="L494" s="13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13"/>
      <c r="J495" s="13"/>
      <c r="K495" s="14"/>
      <c r="L495" s="13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13"/>
      <c r="J496" s="13"/>
      <c r="K496" s="14"/>
      <c r="L496" s="13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13"/>
      <c r="J497" s="13"/>
      <c r="K497" s="14"/>
      <c r="L497" s="13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13"/>
      <c r="J498" s="13"/>
      <c r="K498" s="14"/>
      <c r="L498" s="13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13"/>
      <c r="J499" s="13"/>
      <c r="K499" s="14"/>
      <c r="L499" s="13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13"/>
      <c r="J500" s="13"/>
      <c r="K500" s="14"/>
      <c r="L500" s="13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13"/>
      <c r="J501" s="13"/>
      <c r="K501" s="14"/>
      <c r="L501" s="13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13"/>
      <c r="J502" s="13"/>
      <c r="K502" s="14"/>
      <c r="L502" s="13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13"/>
      <c r="J503" s="13"/>
      <c r="K503" s="14"/>
      <c r="L503" s="13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13"/>
      <c r="J504" s="13"/>
      <c r="K504" s="14"/>
      <c r="L504" s="13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13"/>
      <c r="J505" s="13"/>
      <c r="K505" s="14"/>
      <c r="L505" s="13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13"/>
      <c r="J506" s="13"/>
      <c r="K506" s="14"/>
      <c r="L506" s="13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13"/>
      <c r="J507" s="13"/>
      <c r="K507" s="14"/>
      <c r="L507" s="13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13"/>
      <c r="J508" s="13"/>
      <c r="K508" s="14"/>
      <c r="L508" s="13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13"/>
      <c r="J509" s="13"/>
      <c r="K509" s="14"/>
      <c r="L509" s="13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13"/>
      <c r="J510" s="13"/>
      <c r="K510" s="14"/>
      <c r="L510" s="13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13"/>
      <c r="J511" s="13"/>
      <c r="K511" s="14"/>
      <c r="L511" s="13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13"/>
      <c r="J512" s="13"/>
      <c r="K512" s="14"/>
      <c r="L512" s="13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13"/>
      <c r="J513" s="13"/>
      <c r="K513" s="14"/>
      <c r="L513" s="13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13"/>
      <c r="J514" s="13"/>
      <c r="K514" s="14"/>
      <c r="L514" s="13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13"/>
      <c r="J515" s="13"/>
      <c r="K515" s="14"/>
      <c r="L515" s="13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13"/>
      <c r="J516" s="13"/>
      <c r="K516" s="14"/>
      <c r="L516" s="13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13"/>
      <c r="J517" s="13"/>
      <c r="K517" s="14"/>
      <c r="L517" s="13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13"/>
      <c r="J518" s="13"/>
      <c r="K518" s="14"/>
      <c r="L518" s="13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13"/>
      <c r="J519" s="13"/>
      <c r="K519" s="14"/>
      <c r="L519" s="13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13"/>
      <c r="J520" s="13"/>
      <c r="K520" s="14"/>
      <c r="L520" s="13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13"/>
      <c r="J521" s="13"/>
      <c r="K521" s="14"/>
      <c r="L521" s="13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13"/>
      <c r="J522" s="13"/>
      <c r="K522" s="14"/>
      <c r="L522" s="13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13"/>
      <c r="J523" s="13"/>
      <c r="K523" s="14"/>
      <c r="L523" s="13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13"/>
      <c r="J524" s="13"/>
      <c r="K524" s="14"/>
      <c r="L524" s="13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13"/>
      <c r="J525" s="13"/>
      <c r="K525" s="14"/>
      <c r="L525" s="13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13"/>
      <c r="J526" s="13"/>
      <c r="K526" s="14"/>
      <c r="L526" s="13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13"/>
      <c r="J527" s="13"/>
      <c r="K527" s="14"/>
      <c r="L527" s="13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13"/>
      <c r="J528" s="13"/>
      <c r="K528" s="14"/>
      <c r="L528" s="13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13"/>
      <c r="J529" s="13"/>
      <c r="K529" s="14"/>
      <c r="L529" s="13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13"/>
      <c r="J530" s="13"/>
      <c r="K530" s="14"/>
      <c r="L530" s="13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13"/>
      <c r="J531" s="13"/>
      <c r="K531" s="14"/>
      <c r="L531" s="13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13"/>
      <c r="J532" s="13"/>
      <c r="K532" s="14"/>
      <c r="L532" s="13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13"/>
      <c r="J533" s="13"/>
      <c r="K533" s="14"/>
      <c r="L533" s="13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13"/>
      <c r="J534" s="13"/>
      <c r="K534" s="14"/>
      <c r="L534" s="13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13"/>
      <c r="J535" s="13"/>
      <c r="K535" s="14"/>
      <c r="L535" s="13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13"/>
      <c r="J536" s="13"/>
      <c r="K536" s="14"/>
      <c r="L536" s="13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13"/>
      <c r="J537" s="13"/>
      <c r="K537" s="14"/>
      <c r="L537" s="13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13"/>
      <c r="J538" s="13"/>
      <c r="K538" s="14"/>
      <c r="L538" s="13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13"/>
      <c r="J539" s="13"/>
      <c r="K539" s="14"/>
      <c r="L539" s="13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13"/>
      <c r="J540" s="13"/>
      <c r="K540" s="14"/>
      <c r="L540" s="13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13"/>
      <c r="J541" s="13"/>
      <c r="K541" s="14"/>
      <c r="L541" s="13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13"/>
      <c r="J542" s="13"/>
      <c r="K542" s="14"/>
      <c r="L542" s="13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13"/>
      <c r="J543" s="13"/>
      <c r="K543" s="14"/>
      <c r="L543" s="13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13"/>
      <c r="J544" s="13"/>
      <c r="K544" s="14"/>
      <c r="L544" s="13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13"/>
      <c r="J545" s="13"/>
      <c r="K545" s="14"/>
      <c r="L545" s="13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13"/>
      <c r="J546" s="13"/>
      <c r="K546" s="14"/>
      <c r="L546" s="13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13"/>
      <c r="J547" s="13"/>
      <c r="K547" s="14"/>
      <c r="L547" s="13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13"/>
      <c r="J548" s="13"/>
      <c r="K548" s="14"/>
      <c r="L548" s="13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13"/>
      <c r="J549" s="13"/>
      <c r="K549" s="14"/>
      <c r="L549" s="13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13"/>
      <c r="J550" s="13"/>
      <c r="K550" s="14"/>
      <c r="L550" s="13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13"/>
      <c r="J551" s="13"/>
      <c r="K551" s="14"/>
      <c r="L551" s="13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13"/>
      <c r="J552" s="13"/>
      <c r="K552" s="14"/>
      <c r="L552" s="13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13"/>
      <c r="J553" s="13"/>
      <c r="K553" s="14"/>
      <c r="L553" s="13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13"/>
      <c r="J554" s="13"/>
      <c r="K554" s="14"/>
      <c r="L554" s="13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13"/>
      <c r="J555" s="13"/>
      <c r="K555" s="14"/>
      <c r="L555" s="13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13"/>
      <c r="J556" s="13"/>
      <c r="K556" s="14"/>
      <c r="L556" s="13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13"/>
      <c r="J557" s="13"/>
      <c r="K557" s="14"/>
      <c r="L557" s="13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13"/>
      <c r="J558" s="13"/>
      <c r="K558" s="14"/>
      <c r="L558" s="13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13"/>
      <c r="J559" s="13"/>
      <c r="K559" s="14"/>
      <c r="L559" s="13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13"/>
      <c r="J560" s="13"/>
      <c r="K560" s="14"/>
      <c r="L560" s="13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13"/>
      <c r="J561" s="13"/>
      <c r="K561" s="14"/>
      <c r="L561" s="13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13"/>
      <c r="J562" s="13"/>
      <c r="K562" s="14"/>
      <c r="L562" s="13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13"/>
      <c r="J563" s="13"/>
      <c r="K563" s="14"/>
      <c r="L563" s="13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13"/>
      <c r="J564" s="13"/>
      <c r="K564" s="14"/>
      <c r="L564" s="13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13"/>
      <c r="J565" s="13"/>
      <c r="K565" s="14"/>
      <c r="L565" s="13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13"/>
      <c r="J566" s="13"/>
      <c r="K566" s="14"/>
      <c r="L566" s="13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13"/>
      <c r="J567" s="13"/>
      <c r="K567" s="14"/>
      <c r="L567" s="13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13"/>
      <c r="J568" s="13"/>
      <c r="K568" s="14"/>
      <c r="L568" s="13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13"/>
      <c r="J569" s="13"/>
      <c r="K569" s="14"/>
      <c r="L569" s="13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13"/>
      <c r="J570" s="13"/>
      <c r="K570" s="14"/>
      <c r="L570" s="13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13"/>
      <c r="J571" s="13"/>
      <c r="K571" s="14"/>
      <c r="L571" s="13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13"/>
      <c r="J572" s="13"/>
      <c r="K572" s="14"/>
      <c r="L572" s="13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13"/>
      <c r="J573" s="13"/>
      <c r="K573" s="14"/>
      <c r="L573" s="13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13"/>
      <c r="J574" s="13"/>
      <c r="K574" s="14"/>
      <c r="L574" s="13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13"/>
      <c r="J575" s="13"/>
      <c r="K575" s="14"/>
      <c r="L575" s="13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13"/>
      <c r="J576" s="13"/>
      <c r="K576" s="14"/>
      <c r="L576" s="13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13"/>
      <c r="J577" s="13"/>
      <c r="K577" s="14"/>
      <c r="L577" s="13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13"/>
      <c r="J578" s="13"/>
      <c r="K578" s="14"/>
      <c r="L578" s="13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13"/>
      <c r="J579" s="13"/>
      <c r="K579" s="14"/>
      <c r="L579" s="13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13"/>
      <c r="J580" s="13"/>
      <c r="K580" s="14"/>
      <c r="L580" s="13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13"/>
      <c r="J581" s="13"/>
      <c r="K581" s="14"/>
      <c r="L581" s="13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13"/>
      <c r="J582" s="13"/>
      <c r="K582" s="14"/>
      <c r="L582" s="13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13"/>
      <c r="J583" s="13"/>
      <c r="K583" s="14"/>
      <c r="L583" s="13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13"/>
      <c r="J584" s="13"/>
      <c r="K584" s="14"/>
      <c r="L584" s="13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13"/>
      <c r="J585" s="13"/>
      <c r="K585" s="14"/>
      <c r="L585" s="13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13"/>
      <c r="J586" s="13"/>
      <c r="K586" s="14"/>
      <c r="L586" s="13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13"/>
      <c r="J587" s="13"/>
      <c r="K587" s="14"/>
      <c r="L587" s="13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13"/>
      <c r="J588" s="13"/>
      <c r="K588" s="14"/>
      <c r="L588" s="13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13"/>
      <c r="J589" s="13"/>
      <c r="K589" s="14"/>
      <c r="L589" s="13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13"/>
      <c r="J590" s="13"/>
      <c r="K590" s="14"/>
      <c r="L590" s="13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13"/>
      <c r="J591" s="13"/>
      <c r="K591" s="14"/>
      <c r="L591" s="13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13"/>
      <c r="J592" s="13"/>
      <c r="K592" s="14"/>
      <c r="L592" s="13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13"/>
      <c r="J593" s="13"/>
      <c r="K593" s="14"/>
      <c r="L593" s="13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13"/>
      <c r="J594" s="13"/>
      <c r="K594" s="14"/>
      <c r="L594" s="13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13"/>
      <c r="J595" s="13"/>
      <c r="K595" s="14"/>
      <c r="L595" s="13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13"/>
      <c r="J596" s="13"/>
      <c r="K596" s="14"/>
      <c r="L596" s="13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13"/>
      <c r="J597" s="13"/>
      <c r="K597" s="14"/>
      <c r="L597" s="13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13"/>
      <c r="J598" s="13"/>
      <c r="K598" s="14"/>
      <c r="L598" s="13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13"/>
      <c r="J599" s="13"/>
      <c r="K599" s="14"/>
      <c r="L599" s="13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13"/>
      <c r="J600" s="13"/>
      <c r="K600" s="14"/>
      <c r="L600" s="13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13"/>
      <c r="J601" s="13"/>
      <c r="K601" s="14"/>
      <c r="L601" s="13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13"/>
      <c r="J602" s="13"/>
      <c r="K602" s="14"/>
      <c r="L602" s="13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13"/>
      <c r="J603" s="13"/>
      <c r="K603" s="14"/>
      <c r="L603" s="13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13"/>
      <c r="J604" s="13"/>
      <c r="K604" s="14"/>
      <c r="L604" s="13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13"/>
      <c r="J605" s="13"/>
      <c r="K605" s="14"/>
      <c r="L605" s="13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13"/>
      <c r="J606" s="13"/>
      <c r="K606" s="14"/>
      <c r="L606" s="13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13"/>
      <c r="J607" s="13"/>
      <c r="K607" s="14"/>
      <c r="L607" s="13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13"/>
      <c r="J608" s="13"/>
      <c r="K608" s="14"/>
      <c r="L608" s="13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13"/>
      <c r="J609" s="13"/>
      <c r="K609" s="14"/>
      <c r="L609" s="13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13"/>
      <c r="J610" s="13"/>
      <c r="K610" s="14"/>
      <c r="L610" s="13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13"/>
      <c r="J611" s="13"/>
      <c r="K611" s="14"/>
      <c r="L611" s="13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13"/>
      <c r="J612" s="13"/>
      <c r="K612" s="14"/>
      <c r="L612" s="13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13"/>
      <c r="J613" s="13"/>
      <c r="K613" s="14"/>
      <c r="L613" s="13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13"/>
      <c r="J614" s="13"/>
      <c r="K614" s="14"/>
      <c r="L614" s="13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13"/>
      <c r="J615" s="13"/>
      <c r="K615" s="14"/>
      <c r="L615" s="13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13"/>
      <c r="J616" s="13"/>
      <c r="K616" s="14"/>
      <c r="L616" s="13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13"/>
      <c r="J617" s="13"/>
      <c r="K617" s="14"/>
      <c r="L617" s="13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13"/>
      <c r="J618" s="13"/>
      <c r="K618" s="14"/>
      <c r="L618" s="13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13"/>
      <c r="J619" s="13"/>
      <c r="K619" s="14"/>
      <c r="L619" s="13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13"/>
      <c r="J620" s="13"/>
      <c r="K620" s="14"/>
      <c r="L620" s="13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13"/>
      <c r="J621" s="13"/>
      <c r="K621" s="14"/>
      <c r="L621" s="13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13"/>
      <c r="J622" s="13"/>
      <c r="K622" s="14"/>
      <c r="L622" s="13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13"/>
      <c r="J623" s="13"/>
      <c r="K623" s="14"/>
      <c r="L623" s="13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13"/>
      <c r="J624" s="13"/>
      <c r="K624" s="14"/>
      <c r="L624" s="13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13"/>
      <c r="J625" s="13"/>
      <c r="K625" s="14"/>
      <c r="L625" s="13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13"/>
      <c r="J626" s="13"/>
      <c r="K626" s="14"/>
      <c r="L626" s="13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13"/>
      <c r="J627" s="13"/>
      <c r="K627" s="14"/>
      <c r="L627" s="13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13"/>
      <c r="J628" s="13"/>
      <c r="K628" s="14"/>
      <c r="L628" s="13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13"/>
      <c r="J629" s="13"/>
      <c r="K629" s="14"/>
      <c r="L629" s="13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13"/>
      <c r="J630" s="13"/>
      <c r="K630" s="14"/>
      <c r="L630" s="13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13"/>
      <c r="J631" s="13"/>
      <c r="K631" s="14"/>
      <c r="L631" s="13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13"/>
      <c r="J632" s="13"/>
      <c r="K632" s="14"/>
      <c r="L632" s="13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13"/>
      <c r="J633" s="13"/>
      <c r="K633" s="14"/>
      <c r="L633" s="13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13"/>
      <c r="J634" s="13"/>
      <c r="K634" s="14"/>
      <c r="L634" s="13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13"/>
      <c r="J635" s="13"/>
      <c r="K635" s="14"/>
      <c r="L635" s="13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13"/>
      <c r="J636" s="13"/>
      <c r="K636" s="14"/>
      <c r="L636" s="13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13"/>
      <c r="J637" s="13"/>
      <c r="K637" s="14"/>
      <c r="L637" s="13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13"/>
      <c r="J638" s="13"/>
      <c r="K638" s="14"/>
      <c r="L638" s="13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13"/>
      <c r="J639" s="13"/>
      <c r="K639" s="14"/>
      <c r="L639" s="13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13"/>
      <c r="J640" s="13"/>
      <c r="K640" s="14"/>
      <c r="L640" s="13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13"/>
      <c r="J641" s="13"/>
      <c r="K641" s="14"/>
      <c r="L641" s="13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13"/>
      <c r="J642" s="13"/>
      <c r="K642" s="14"/>
      <c r="L642" s="13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13"/>
      <c r="J643" s="13"/>
      <c r="K643" s="14"/>
      <c r="L643" s="13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13"/>
      <c r="J644" s="13"/>
      <c r="K644" s="14"/>
      <c r="L644" s="13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13"/>
      <c r="J645" s="13"/>
      <c r="K645" s="14"/>
      <c r="L645" s="13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13"/>
      <c r="J646" s="13"/>
      <c r="K646" s="14"/>
      <c r="L646" s="13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13"/>
      <c r="J647" s="13"/>
      <c r="K647" s="14"/>
      <c r="L647" s="13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13"/>
      <c r="J648" s="13"/>
      <c r="K648" s="14"/>
      <c r="L648" s="13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13"/>
      <c r="J649" s="13"/>
      <c r="K649" s="14"/>
      <c r="L649" s="13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13"/>
      <c r="J650" s="13"/>
      <c r="K650" s="14"/>
      <c r="L650" s="13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13"/>
      <c r="J651" s="13"/>
      <c r="K651" s="14"/>
      <c r="L651" s="13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13"/>
      <c r="J652" s="13"/>
      <c r="K652" s="14"/>
      <c r="L652" s="13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13"/>
      <c r="J653" s="13"/>
      <c r="K653" s="14"/>
      <c r="L653" s="13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13"/>
      <c r="J654" s="13"/>
      <c r="K654" s="14"/>
      <c r="L654" s="13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13"/>
      <c r="J655" s="13"/>
      <c r="K655" s="14"/>
      <c r="L655" s="13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13"/>
      <c r="J656" s="13"/>
      <c r="K656" s="14"/>
      <c r="L656" s="13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13"/>
      <c r="J657" s="13"/>
      <c r="K657" s="14"/>
      <c r="L657" s="13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13"/>
      <c r="J658" s="13"/>
      <c r="K658" s="14"/>
      <c r="L658" s="13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13"/>
      <c r="J659" s="13"/>
      <c r="K659" s="14"/>
      <c r="L659" s="13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13"/>
      <c r="J660" s="13"/>
      <c r="K660" s="14"/>
      <c r="L660" s="13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13"/>
      <c r="J661" s="13"/>
      <c r="K661" s="14"/>
      <c r="L661" s="13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13"/>
      <c r="J662" s="13"/>
      <c r="K662" s="14"/>
      <c r="L662" s="13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13"/>
      <c r="J663" s="13"/>
      <c r="K663" s="14"/>
      <c r="L663" s="13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13"/>
      <c r="J664" s="13"/>
      <c r="K664" s="14"/>
      <c r="L664" s="13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13"/>
      <c r="J665" s="13"/>
      <c r="K665" s="14"/>
      <c r="L665" s="13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13"/>
      <c r="J666" s="13"/>
      <c r="K666" s="14"/>
      <c r="L666" s="13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13"/>
      <c r="J667" s="13"/>
      <c r="K667" s="14"/>
      <c r="L667" s="13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13"/>
      <c r="J668" s="13"/>
      <c r="K668" s="14"/>
      <c r="L668" s="13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13"/>
      <c r="J669" s="13"/>
      <c r="K669" s="14"/>
      <c r="L669" s="13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13"/>
      <c r="J670" s="13"/>
      <c r="K670" s="14"/>
      <c r="L670" s="13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13"/>
      <c r="J671" s="13"/>
      <c r="K671" s="14"/>
      <c r="L671" s="13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13"/>
      <c r="J672" s="13"/>
      <c r="K672" s="14"/>
      <c r="L672" s="13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13"/>
      <c r="J673" s="13"/>
      <c r="K673" s="14"/>
      <c r="L673" s="13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13"/>
      <c r="J674" s="13"/>
      <c r="K674" s="14"/>
      <c r="L674" s="13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13"/>
      <c r="J675" s="13"/>
      <c r="K675" s="14"/>
      <c r="L675" s="13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13"/>
      <c r="J676" s="13"/>
      <c r="K676" s="14"/>
      <c r="L676" s="13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13"/>
      <c r="J677" s="13"/>
      <c r="K677" s="14"/>
      <c r="L677" s="13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13"/>
      <c r="J678" s="13"/>
      <c r="K678" s="14"/>
      <c r="L678" s="13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13"/>
      <c r="J679" s="13"/>
      <c r="K679" s="14"/>
      <c r="L679" s="13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13"/>
      <c r="J680" s="13"/>
      <c r="K680" s="14"/>
      <c r="L680" s="13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13"/>
      <c r="J681" s="13"/>
      <c r="K681" s="14"/>
      <c r="L681" s="13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13"/>
      <c r="J682" s="13"/>
      <c r="K682" s="14"/>
      <c r="L682" s="13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13"/>
      <c r="J683" s="13"/>
      <c r="K683" s="14"/>
      <c r="L683" s="13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13"/>
      <c r="J684" s="13"/>
      <c r="K684" s="14"/>
      <c r="L684" s="13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13"/>
      <c r="J685" s="13"/>
      <c r="K685" s="14"/>
      <c r="L685" s="13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13"/>
      <c r="J686" s="13"/>
      <c r="K686" s="14"/>
      <c r="L686" s="13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13"/>
      <c r="J687" s="13"/>
      <c r="K687" s="14"/>
      <c r="L687" s="13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13"/>
      <c r="J688" s="13"/>
      <c r="K688" s="14"/>
      <c r="L688" s="13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13"/>
      <c r="J689" s="13"/>
      <c r="K689" s="14"/>
      <c r="L689" s="13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13"/>
      <c r="J690" s="13"/>
      <c r="K690" s="14"/>
      <c r="L690" s="13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13"/>
      <c r="J691" s="13"/>
      <c r="K691" s="14"/>
      <c r="L691" s="13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13"/>
      <c r="J692" s="13"/>
      <c r="K692" s="14"/>
      <c r="L692" s="13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13"/>
      <c r="J693" s="13"/>
      <c r="K693" s="14"/>
      <c r="L693" s="13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13"/>
      <c r="J694" s="13"/>
      <c r="K694" s="14"/>
      <c r="L694" s="13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13"/>
      <c r="J695" s="13"/>
      <c r="K695" s="14"/>
      <c r="L695" s="13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13"/>
      <c r="J696" s="13"/>
      <c r="K696" s="14"/>
      <c r="L696" s="13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13"/>
      <c r="J697" s="13"/>
      <c r="K697" s="14"/>
      <c r="L697" s="13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13"/>
      <c r="J698" s="13"/>
      <c r="K698" s="14"/>
      <c r="L698" s="13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13"/>
      <c r="J699" s="13"/>
      <c r="K699" s="14"/>
      <c r="L699" s="13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13"/>
      <c r="J700" s="13"/>
      <c r="K700" s="14"/>
      <c r="L700" s="13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13"/>
      <c r="J701" s="13"/>
      <c r="K701" s="14"/>
      <c r="L701" s="13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13"/>
      <c r="J702" s="13"/>
      <c r="K702" s="14"/>
      <c r="L702" s="13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13"/>
      <c r="J703" s="13"/>
      <c r="K703" s="14"/>
      <c r="L703" s="13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13"/>
      <c r="J704" s="13"/>
      <c r="K704" s="14"/>
      <c r="L704" s="13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13"/>
      <c r="J705" s="13"/>
      <c r="K705" s="14"/>
      <c r="L705" s="13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13"/>
      <c r="J706" s="13"/>
      <c r="K706" s="14"/>
      <c r="L706" s="13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13"/>
      <c r="J707" s="13"/>
      <c r="K707" s="14"/>
      <c r="L707" s="13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13"/>
      <c r="J708" s="13"/>
      <c r="K708" s="14"/>
      <c r="L708" s="13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13"/>
      <c r="J709" s="13"/>
      <c r="K709" s="14"/>
      <c r="L709" s="13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13"/>
      <c r="J710" s="13"/>
      <c r="K710" s="14"/>
      <c r="L710" s="13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13"/>
      <c r="J711" s="13"/>
      <c r="K711" s="14"/>
      <c r="L711" s="13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13"/>
      <c r="J712" s="13"/>
      <c r="K712" s="14"/>
      <c r="L712" s="13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13"/>
      <c r="J713" s="13"/>
      <c r="K713" s="14"/>
      <c r="L713" s="13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13"/>
      <c r="J714" s="13"/>
      <c r="K714" s="14"/>
      <c r="L714" s="13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13"/>
      <c r="J715" s="13"/>
      <c r="K715" s="14"/>
      <c r="L715" s="13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13"/>
      <c r="J716" s="13"/>
      <c r="K716" s="14"/>
      <c r="L716" s="13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13"/>
      <c r="J717" s="13"/>
      <c r="K717" s="14"/>
      <c r="L717" s="13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13"/>
      <c r="J718" s="13"/>
      <c r="K718" s="14"/>
      <c r="L718" s="13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13"/>
      <c r="J719" s="13"/>
      <c r="K719" s="14"/>
      <c r="L719" s="13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13"/>
      <c r="J720" s="13"/>
      <c r="K720" s="14"/>
      <c r="L720" s="13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13"/>
      <c r="J721" s="13"/>
      <c r="K721" s="14"/>
      <c r="L721" s="13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13"/>
      <c r="J722" s="13"/>
      <c r="K722" s="14"/>
      <c r="L722" s="13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13"/>
      <c r="J723" s="13"/>
      <c r="K723" s="14"/>
      <c r="L723" s="13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13"/>
      <c r="J724" s="13"/>
      <c r="K724" s="14"/>
      <c r="L724" s="13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13"/>
      <c r="J725" s="13"/>
      <c r="K725" s="14"/>
      <c r="L725" s="13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13"/>
      <c r="J726" s="13"/>
      <c r="K726" s="14"/>
      <c r="L726" s="13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13"/>
      <c r="J727" s="13"/>
      <c r="K727" s="14"/>
      <c r="L727" s="13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13"/>
      <c r="J728" s="13"/>
      <c r="K728" s="14"/>
      <c r="L728" s="13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13"/>
      <c r="J729" s="13"/>
      <c r="K729" s="14"/>
      <c r="L729" s="13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13"/>
      <c r="J730" s="13"/>
      <c r="K730" s="14"/>
      <c r="L730" s="13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13"/>
      <c r="J731" s="13"/>
      <c r="K731" s="14"/>
      <c r="L731" s="13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13"/>
      <c r="J732" s="13"/>
      <c r="K732" s="14"/>
      <c r="L732" s="13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13"/>
      <c r="J733" s="13"/>
      <c r="K733" s="14"/>
      <c r="L733" s="13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13"/>
      <c r="J734" s="13"/>
      <c r="K734" s="14"/>
      <c r="L734" s="13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13"/>
      <c r="J735" s="13"/>
      <c r="K735" s="14"/>
      <c r="L735" s="13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13"/>
      <c r="J736" s="13"/>
      <c r="K736" s="14"/>
      <c r="L736" s="13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13"/>
      <c r="J737" s="13"/>
      <c r="K737" s="14"/>
      <c r="L737" s="13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13"/>
      <c r="J738" s="13"/>
      <c r="K738" s="14"/>
      <c r="L738" s="13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13"/>
      <c r="J739" s="13"/>
      <c r="K739" s="14"/>
      <c r="L739" s="13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13"/>
      <c r="J740" s="13"/>
      <c r="K740" s="14"/>
      <c r="L740" s="13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13"/>
      <c r="J741" s="13"/>
      <c r="K741" s="14"/>
      <c r="L741" s="13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13"/>
      <c r="J742" s="13"/>
      <c r="K742" s="14"/>
      <c r="L742" s="13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13"/>
      <c r="J743" s="13"/>
      <c r="K743" s="14"/>
      <c r="L743" s="13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13"/>
      <c r="J744" s="13"/>
      <c r="K744" s="14"/>
      <c r="L744" s="13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13"/>
      <c r="J745" s="13"/>
      <c r="K745" s="14"/>
      <c r="L745" s="13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13"/>
      <c r="J746" s="13"/>
      <c r="K746" s="14"/>
      <c r="L746" s="13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13"/>
      <c r="J747" s="13"/>
      <c r="K747" s="14"/>
      <c r="L747" s="13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13"/>
      <c r="J748" s="13"/>
      <c r="K748" s="14"/>
      <c r="L748" s="13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13"/>
      <c r="J749" s="13"/>
      <c r="K749" s="14"/>
      <c r="L749" s="13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13"/>
      <c r="J750" s="13"/>
      <c r="K750" s="14"/>
      <c r="L750" s="13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13"/>
      <c r="J751" s="13"/>
      <c r="K751" s="14"/>
      <c r="L751" s="13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13"/>
      <c r="J752" s="13"/>
      <c r="K752" s="14"/>
      <c r="L752" s="13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13"/>
      <c r="J753" s="13"/>
      <c r="K753" s="14"/>
      <c r="L753" s="13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13"/>
      <c r="J754" s="13"/>
      <c r="K754" s="14"/>
      <c r="L754" s="13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13"/>
      <c r="J755" s="13"/>
      <c r="K755" s="14"/>
      <c r="L755" s="13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13"/>
      <c r="J756" s="13"/>
      <c r="K756" s="14"/>
      <c r="L756" s="13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13"/>
      <c r="J757" s="13"/>
      <c r="K757" s="14"/>
      <c r="L757" s="13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13"/>
      <c r="J758" s="13"/>
      <c r="K758" s="14"/>
      <c r="L758" s="13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13"/>
      <c r="J759" s="13"/>
      <c r="K759" s="14"/>
      <c r="L759" s="13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13"/>
      <c r="J760" s="13"/>
      <c r="K760" s="14"/>
      <c r="L760" s="13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13"/>
      <c r="J761" s="13"/>
      <c r="K761" s="14"/>
      <c r="L761" s="13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13"/>
      <c r="J762" s="13"/>
      <c r="K762" s="14"/>
      <c r="L762" s="13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13"/>
      <c r="J763" s="13"/>
      <c r="K763" s="14"/>
      <c r="L763" s="13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13"/>
      <c r="J764" s="13"/>
      <c r="K764" s="14"/>
      <c r="L764" s="13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13"/>
      <c r="J765" s="13"/>
      <c r="K765" s="14"/>
      <c r="L765" s="13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13"/>
      <c r="J766" s="13"/>
      <c r="K766" s="14"/>
      <c r="L766" s="13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13"/>
      <c r="J767" s="13"/>
      <c r="K767" s="14"/>
      <c r="L767" s="13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13"/>
      <c r="J768" s="13"/>
      <c r="K768" s="14"/>
      <c r="L768" s="13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13"/>
      <c r="J769" s="13"/>
      <c r="K769" s="14"/>
      <c r="L769" s="13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13"/>
      <c r="J770" s="13"/>
      <c r="K770" s="14"/>
      <c r="L770" s="13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13"/>
      <c r="J771" s="13"/>
      <c r="K771" s="14"/>
      <c r="L771" s="13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13"/>
      <c r="J772" s="13"/>
      <c r="K772" s="14"/>
      <c r="L772" s="13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13"/>
      <c r="J773" s="13"/>
      <c r="K773" s="14"/>
      <c r="L773" s="13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13"/>
      <c r="J774" s="13"/>
      <c r="K774" s="14"/>
      <c r="L774" s="13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13"/>
      <c r="J775" s="13"/>
      <c r="K775" s="14"/>
      <c r="L775" s="13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13"/>
      <c r="J776" s="13"/>
      <c r="K776" s="14"/>
      <c r="L776" s="13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13"/>
      <c r="J777" s="13"/>
      <c r="K777" s="14"/>
      <c r="L777" s="13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13"/>
      <c r="J778" s="13"/>
      <c r="K778" s="14"/>
      <c r="L778" s="13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13"/>
      <c r="J779" s="13"/>
      <c r="K779" s="14"/>
      <c r="L779" s="13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13"/>
      <c r="J780" s="13"/>
      <c r="K780" s="14"/>
      <c r="L780" s="13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13"/>
      <c r="J781" s="13"/>
      <c r="K781" s="14"/>
      <c r="L781" s="13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13"/>
      <c r="J782" s="13"/>
      <c r="K782" s="14"/>
      <c r="L782" s="13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13"/>
      <c r="J783" s="13"/>
      <c r="K783" s="14"/>
      <c r="L783" s="13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13"/>
      <c r="J784" s="13"/>
      <c r="K784" s="14"/>
      <c r="L784" s="13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13"/>
      <c r="J785" s="13"/>
      <c r="K785" s="14"/>
      <c r="L785" s="13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13"/>
      <c r="J786" s="13"/>
      <c r="K786" s="14"/>
      <c r="L786" s="13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13"/>
      <c r="J787" s="13"/>
      <c r="K787" s="14"/>
      <c r="L787" s="13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13"/>
      <c r="J788" s="13"/>
      <c r="K788" s="14"/>
      <c r="L788" s="13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13"/>
      <c r="J789" s="13"/>
      <c r="K789" s="14"/>
      <c r="L789" s="13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13"/>
      <c r="J790" s="13"/>
      <c r="K790" s="14"/>
      <c r="L790" s="13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13"/>
      <c r="J791" s="13"/>
      <c r="K791" s="14"/>
      <c r="L791" s="13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13"/>
      <c r="J792" s="13"/>
      <c r="K792" s="14"/>
      <c r="L792" s="13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13"/>
      <c r="J793" s="13"/>
      <c r="K793" s="14"/>
      <c r="L793" s="13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13"/>
      <c r="J794" s="13"/>
      <c r="K794" s="14"/>
      <c r="L794" s="13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13"/>
      <c r="J795" s="13"/>
      <c r="K795" s="14"/>
      <c r="L795" s="13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13"/>
      <c r="J796" s="13"/>
      <c r="K796" s="14"/>
      <c r="L796" s="13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13"/>
      <c r="J797" s="13"/>
      <c r="K797" s="14"/>
      <c r="L797" s="13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13"/>
      <c r="J798" s="13"/>
      <c r="K798" s="14"/>
      <c r="L798" s="13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13"/>
      <c r="J799" s="13"/>
      <c r="K799" s="14"/>
      <c r="L799" s="13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13"/>
      <c r="J800" s="13"/>
      <c r="K800" s="14"/>
      <c r="L800" s="13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13"/>
      <c r="J801" s="13"/>
      <c r="K801" s="14"/>
      <c r="L801" s="13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13"/>
      <c r="J802" s="13"/>
      <c r="K802" s="14"/>
      <c r="L802" s="13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13"/>
      <c r="J803" s="13"/>
      <c r="K803" s="14"/>
      <c r="L803" s="13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13"/>
      <c r="J804" s="13"/>
      <c r="K804" s="14"/>
      <c r="L804" s="13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13"/>
      <c r="J805" s="13"/>
      <c r="K805" s="14"/>
      <c r="L805" s="13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13"/>
      <c r="J806" s="13"/>
      <c r="K806" s="14"/>
      <c r="L806" s="13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13"/>
      <c r="J807" s="13"/>
      <c r="K807" s="14"/>
      <c r="L807" s="13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13"/>
      <c r="J808" s="13"/>
      <c r="K808" s="14"/>
      <c r="L808" s="13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13"/>
      <c r="J809" s="13"/>
      <c r="K809" s="14"/>
      <c r="L809" s="13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13"/>
      <c r="J810" s="13"/>
      <c r="K810" s="14"/>
      <c r="L810" s="13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13"/>
      <c r="J811" s="13"/>
      <c r="K811" s="14"/>
      <c r="L811" s="13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13"/>
      <c r="J812" s="13"/>
      <c r="K812" s="14"/>
      <c r="L812" s="13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13"/>
      <c r="J813" s="13"/>
      <c r="K813" s="14"/>
      <c r="L813" s="13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13"/>
      <c r="J814" s="13"/>
      <c r="K814" s="14"/>
      <c r="L814" s="13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13"/>
      <c r="J815" s="13"/>
      <c r="K815" s="14"/>
      <c r="L815" s="13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13"/>
      <c r="J816" s="13"/>
      <c r="K816" s="14"/>
      <c r="L816" s="13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13"/>
      <c r="J817" s="13"/>
      <c r="K817" s="14"/>
      <c r="L817" s="13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13"/>
      <c r="J818" s="13"/>
      <c r="K818" s="14"/>
      <c r="L818" s="13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13"/>
      <c r="J819" s="13"/>
      <c r="K819" s="14"/>
      <c r="L819" s="13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13"/>
      <c r="J820" s="13"/>
      <c r="K820" s="14"/>
      <c r="L820" s="13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13"/>
      <c r="J821" s="13"/>
      <c r="K821" s="14"/>
      <c r="L821" s="13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13"/>
      <c r="J822" s="13"/>
      <c r="K822" s="14"/>
      <c r="L822" s="13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13"/>
      <c r="J823" s="13"/>
      <c r="K823" s="14"/>
      <c r="L823" s="13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13"/>
      <c r="J824" s="13"/>
      <c r="K824" s="14"/>
      <c r="L824" s="13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13"/>
      <c r="J825" s="13"/>
      <c r="K825" s="14"/>
      <c r="L825" s="13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13"/>
      <c r="J826" s="13"/>
      <c r="K826" s="14"/>
      <c r="L826" s="13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13"/>
      <c r="J827" s="13"/>
      <c r="K827" s="14"/>
      <c r="L827" s="13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13"/>
      <c r="J828" s="13"/>
      <c r="K828" s="14"/>
      <c r="L828" s="13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13"/>
      <c r="J829" s="13"/>
      <c r="K829" s="14"/>
      <c r="L829" s="13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13"/>
      <c r="J830" s="13"/>
      <c r="K830" s="14"/>
      <c r="L830" s="13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13"/>
      <c r="J831" s="13"/>
      <c r="K831" s="14"/>
      <c r="L831" s="13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13"/>
      <c r="J832" s="13"/>
      <c r="K832" s="14"/>
      <c r="L832" s="13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13"/>
      <c r="J833" s="13"/>
      <c r="K833" s="14"/>
      <c r="L833" s="13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13"/>
      <c r="J834" s="13"/>
      <c r="K834" s="14"/>
      <c r="L834" s="13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13"/>
      <c r="J835" s="13"/>
      <c r="K835" s="14"/>
      <c r="L835" s="13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13"/>
      <c r="J836" s="13"/>
      <c r="K836" s="14"/>
      <c r="L836" s="13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13"/>
      <c r="J837" s="13"/>
      <c r="K837" s="14"/>
      <c r="L837" s="13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13"/>
      <c r="J838" s="13"/>
      <c r="K838" s="14"/>
      <c r="L838" s="13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13"/>
      <c r="J839" s="13"/>
      <c r="K839" s="14"/>
      <c r="L839" s="13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13"/>
      <c r="J840" s="13"/>
      <c r="K840" s="14"/>
      <c r="L840" s="13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13"/>
      <c r="J841" s="13"/>
      <c r="K841" s="14"/>
      <c r="L841" s="13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13"/>
      <c r="J842" s="13"/>
      <c r="K842" s="14"/>
      <c r="L842" s="13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13"/>
      <c r="J843" s="13"/>
      <c r="K843" s="14"/>
      <c r="L843" s="13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13"/>
      <c r="J844" s="13"/>
      <c r="K844" s="14"/>
      <c r="L844" s="13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13"/>
      <c r="J845" s="13"/>
      <c r="K845" s="14"/>
      <c r="L845" s="13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13"/>
      <c r="J846" s="13"/>
      <c r="K846" s="14"/>
      <c r="L846" s="13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13"/>
      <c r="J847" s="13"/>
      <c r="K847" s="14"/>
      <c r="L847" s="13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13"/>
      <c r="J848" s="13"/>
      <c r="K848" s="14"/>
      <c r="L848" s="13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13"/>
      <c r="J849" s="13"/>
      <c r="K849" s="14"/>
      <c r="L849" s="13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13"/>
      <c r="J850" s="13"/>
      <c r="K850" s="14"/>
      <c r="L850" s="13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13"/>
      <c r="J851" s="13"/>
      <c r="K851" s="14"/>
      <c r="L851" s="13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13"/>
      <c r="J852" s="13"/>
      <c r="K852" s="14"/>
      <c r="L852" s="13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13"/>
      <c r="J853" s="13"/>
      <c r="K853" s="14"/>
      <c r="L853" s="13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13"/>
      <c r="J854" s="13"/>
      <c r="K854" s="14"/>
      <c r="L854" s="13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13"/>
      <c r="J855" s="13"/>
      <c r="K855" s="14"/>
      <c r="L855" s="13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13"/>
      <c r="J856" s="13"/>
      <c r="K856" s="14"/>
      <c r="L856" s="13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13"/>
      <c r="J857" s="13"/>
      <c r="K857" s="14"/>
      <c r="L857" s="13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13"/>
      <c r="J858" s="13"/>
      <c r="K858" s="14"/>
      <c r="L858" s="13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13"/>
      <c r="J859" s="13"/>
      <c r="K859" s="14"/>
      <c r="L859" s="13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13"/>
      <c r="J860" s="13"/>
      <c r="K860" s="14"/>
      <c r="L860" s="13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13"/>
      <c r="J861" s="13"/>
      <c r="K861" s="14"/>
      <c r="L861" s="13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13"/>
      <c r="J862" s="13"/>
      <c r="K862" s="14"/>
      <c r="L862" s="13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13"/>
      <c r="J863" s="13"/>
      <c r="K863" s="14"/>
      <c r="L863" s="13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13"/>
      <c r="J864" s="13"/>
      <c r="K864" s="14"/>
      <c r="L864" s="13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13"/>
      <c r="J865" s="13"/>
      <c r="K865" s="14"/>
      <c r="L865" s="13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13"/>
      <c r="J866" s="13"/>
      <c r="K866" s="14"/>
      <c r="L866" s="13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13"/>
      <c r="J867" s="13"/>
      <c r="K867" s="14"/>
      <c r="L867" s="13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13"/>
      <c r="J868" s="13"/>
      <c r="K868" s="14"/>
      <c r="L868" s="13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13"/>
      <c r="J869" s="13"/>
      <c r="K869" s="14"/>
      <c r="L869" s="13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13"/>
      <c r="J870" s="13"/>
      <c r="K870" s="14"/>
      <c r="L870" s="13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13"/>
      <c r="J871" s="13"/>
      <c r="K871" s="14"/>
      <c r="L871" s="13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13"/>
      <c r="J872" s="13"/>
      <c r="K872" s="14"/>
      <c r="L872" s="13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13"/>
      <c r="J873" s="13"/>
      <c r="K873" s="14"/>
      <c r="L873" s="13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13"/>
      <c r="J874" s="13"/>
      <c r="K874" s="14"/>
      <c r="L874" s="13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13"/>
      <c r="J875" s="13"/>
      <c r="K875" s="14"/>
      <c r="L875" s="13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13"/>
      <c r="J876" s="13"/>
      <c r="K876" s="14"/>
      <c r="L876" s="13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13"/>
      <c r="J877" s="13"/>
      <c r="K877" s="14"/>
      <c r="L877" s="13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13"/>
      <c r="J878" s="13"/>
      <c r="K878" s="14"/>
      <c r="L878" s="13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13"/>
      <c r="J879" s="13"/>
      <c r="K879" s="14"/>
      <c r="L879" s="13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13"/>
      <c r="J880" s="13"/>
      <c r="K880" s="14"/>
      <c r="L880" s="13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13"/>
      <c r="J881" s="13"/>
      <c r="K881" s="14"/>
      <c r="L881" s="13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13"/>
      <c r="J882" s="13"/>
      <c r="K882" s="14"/>
      <c r="L882" s="13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13"/>
      <c r="J883" s="13"/>
      <c r="K883" s="14"/>
      <c r="L883" s="13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13"/>
      <c r="J884" s="13"/>
      <c r="K884" s="14"/>
      <c r="L884" s="13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13"/>
      <c r="J885" s="13"/>
      <c r="K885" s="14"/>
      <c r="L885" s="13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13"/>
      <c r="J886" s="13"/>
      <c r="K886" s="14"/>
      <c r="L886" s="13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13"/>
      <c r="J887" s="13"/>
      <c r="K887" s="14"/>
      <c r="L887" s="13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13"/>
      <c r="J888" s="13"/>
      <c r="K888" s="14"/>
      <c r="L888" s="13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13"/>
      <c r="J889" s="13"/>
      <c r="K889" s="14"/>
      <c r="L889" s="13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13"/>
      <c r="J890" s="13"/>
      <c r="K890" s="14"/>
      <c r="L890" s="13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13"/>
      <c r="J891" s="13"/>
      <c r="K891" s="14"/>
      <c r="L891" s="13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13"/>
      <c r="J892" s="13"/>
      <c r="K892" s="14"/>
      <c r="L892" s="13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13"/>
      <c r="J893" s="13"/>
      <c r="K893" s="14"/>
      <c r="L893" s="13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13"/>
      <c r="J894" s="13"/>
      <c r="K894" s="14"/>
      <c r="L894" s="13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13"/>
      <c r="J895" s="13"/>
      <c r="K895" s="14"/>
      <c r="L895" s="13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13"/>
      <c r="J896" s="13"/>
      <c r="K896" s="14"/>
      <c r="L896" s="13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13"/>
      <c r="J897" s="13"/>
      <c r="K897" s="14"/>
      <c r="L897" s="13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13"/>
      <c r="J898" s="13"/>
      <c r="K898" s="14"/>
      <c r="L898" s="13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13"/>
      <c r="J899" s="13"/>
      <c r="K899" s="14"/>
      <c r="L899" s="13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13"/>
      <c r="J900" s="13"/>
      <c r="K900" s="14"/>
      <c r="L900" s="13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13"/>
      <c r="J901" s="13"/>
      <c r="K901" s="14"/>
      <c r="L901" s="13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13"/>
      <c r="J902" s="13"/>
      <c r="K902" s="14"/>
      <c r="L902" s="13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13"/>
      <c r="J903" s="13"/>
      <c r="K903" s="14"/>
      <c r="L903" s="13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13"/>
      <c r="J904" s="13"/>
      <c r="K904" s="14"/>
      <c r="L904" s="13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13"/>
      <c r="J905" s="13"/>
      <c r="K905" s="14"/>
      <c r="L905" s="13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13"/>
      <c r="J906" s="13"/>
      <c r="K906" s="14"/>
      <c r="L906" s="13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13"/>
      <c r="J907" s="13"/>
      <c r="K907" s="14"/>
      <c r="L907" s="13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13"/>
      <c r="J908" s="13"/>
      <c r="K908" s="14"/>
      <c r="L908" s="13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13"/>
      <c r="J909" s="13"/>
      <c r="K909" s="14"/>
      <c r="L909" s="13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13"/>
      <c r="J910" s="13"/>
      <c r="K910" s="14"/>
      <c r="L910" s="13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13"/>
      <c r="J911" s="13"/>
      <c r="K911" s="14"/>
      <c r="L911" s="13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13"/>
      <c r="J912" s="13"/>
      <c r="K912" s="14"/>
      <c r="L912" s="13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13"/>
      <c r="J913" s="13"/>
      <c r="K913" s="14"/>
      <c r="L913" s="13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13"/>
      <c r="J914" s="13"/>
      <c r="K914" s="14"/>
      <c r="L914" s="13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13"/>
      <c r="J915" s="13"/>
      <c r="K915" s="14"/>
      <c r="L915" s="13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13"/>
      <c r="J916" s="13"/>
      <c r="K916" s="14"/>
      <c r="L916" s="13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13"/>
      <c r="J917" s="13"/>
      <c r="K917" s="14"/>
      <c r="L917" s="13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13"/>
      <c r="J918" s="13"/>
      <c r="K918" s="14"/>
      <c r="L918" s="13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13"/>
      <c r="J919" s="13"/>
      <c r="K919" s="14"/>
      <c r="L919" s="13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13"/>
      <c r="J920" s="13"/>
      <c r="K920" s="14"/>
      <c r="L920" s="13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13"/>
      <c r="J921" s="13"/>
      <c r="K921" s="14"/>
      <c r="L921" s="13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13"/>
      <c r="J922" s="13"/>
      <c r="K922" s="14"/>
      <c r="L922" s="13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13"/>
      <c r="J923" s="13"/>
      <c r="K923" s="14"/>
      <c r="L923" s="13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13"/>
      <c r="J924" s="13"/>
      <c r="K924" s="14"/>
      <c r="L924" s="13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13"/>
      <c r="J925" s="13"/>
      <c r="K925" s="14"/>
      <c r="L925" s="13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13"/>
      <c r="J926" s="13"/>
      <c r="K926" s="14"/>
      <c r="L926" s="13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13"/>
      <c r="J927" s="13"/>
      <c r="K927" s="14"/>
      <c r="L927" s="13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13"/>
      <c r="J928" s="13"/>
      <c r="K928" s="14"/>
      <c r="L928" s="13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13"/>
      <c r="J929" s="13"/>
      <c r="K929" s="14"/>
      <c r="L929" s="13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13"/>
      <c r="J930" s="13"/>
      <c r="K930" s="14"/>
      <c r="L930" s="13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13"/>
      <c r="J931" s="13"/>
      <c r="K931" s="14"/>
      <c r="L931" s="13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13"/>
      <c r="J932" s="13"/>
      <c r="K932" s="14"/>
      <c r="L932" s="13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13"/>
      <c r="J933" s="13"/>
      <c r="K933" s="14"/>
      <c r="L933" s="13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13"/>
      <c r="J934" s="13"/>
      <c r="K934" s="14"/>
      <c r="L934" s="13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13"/>
      <c r="J935" s="13"/>
      <c r="K935" s="14"/>
      <c r="L935" s="13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13"/>
      <c r="J936" s="13"/>
      <c r="K936" s="14"/>
      <c r="L936" s="13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13"/>
      <c r="J937" s="13"/>
      <c r="K937" s="14"/>
      <c r="L937" s="13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13"/>
      <c r="J938" s="13"/>
      <c r="K938" s="14"/>
      <c r="L938" s="13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13"/>
      <c r="J939" s="13"/>
      <c r="K939" s="14"/>
      <c r="L939" s="13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13"/>
      <c r="J940" s="13"/>
      <c r="K940" s="14"/>
      <c r="L940" s="13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13"/>
      <c r="J941" s="13"/>
      <c r="K941" s="14"/>
      <c r="L941" s="13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13"/>
      <c r="J942" s="13"/>
      <c r="K942" s="14"/>
      <c r="L942" s="13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13"/>
      <c r="J943" s="13"/>
      <c r="K943" s="14"/>
      <c r="L943" s="13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13"/>
      <c r="J944" s="13"/>
      <c r="K944" s="14"/>
      <c r="L944" s="13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13"/>
      <c r="J945" s="13"/>
      <c r="K945" s="14"/>
      <c r="L945" s="13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13"/>
      <c r="J946" s="13"/>
      <c r="K946" s="14"/>
      <c r="L946" s="13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13"/>
      <c r="J947" s="13"/>
      <c r="K947" s="14"/>
      <c r="L947" s="13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13"/>
      <c r="J948" s="13"/>
      <c r="K948" s="14"/>
      <c r="L948" s="13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13"/>
      <c r="J949" s="13"/>
      <c r="K949" s="14"/>
      <c r="L949" s="13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13"/>
      <c r="J950" s="13"/>
      <c r="K950" s="14"/>
      <c r="L950" s="13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13"/>
      <c r="J951" s="13"/>
      <c r="K951" s="14"/>
      <c r="L951" s="13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13"/>
      <c r="J952" s="13"/>
      <c r="K952" s="14"/>
      <c r="L952" s="13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13"/>
      <c r="J953" s="13"/>
      <c r="K953" s="14"/>
      <c r="L953" s="13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13"/>
      <c r="J954" s="13"/>
      <c r="K954" s="14"/>
      <c r="L954" s="13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13"/>
      <c r="J955" s="13"/>
      <c r="K955" s="14"/>
      <c r="L955" s="13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13"/>
      <c r="J956" s="13"/>
      <c r="K956" s="14"/>
      <c r="L956" s="13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13"/>
      <c r="J957" s="13"/>
      <c r="K957" s="14"/>
      <c r="L957" s="13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13"/>
      <c r="J958" s="13"/>
      <c r="K958" s="14"/>
      <c r="L958" s="13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13"/>
      <c r="J959" s="13"/>
      <c r="K959" s="14"/>
      <c r="L959" s="13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13"/>
      <c r="J960" s="13"/>
      <c r="K960" s="14"/>
      <c r="L960" s="13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13"/>
      <c r="J961" s="13"/>
      <c r="K961" s="14"/>
      <c r="L961" s="13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13"/>
      <c r="J962" s="13"/>
      <c r="K962" s="14"/>
      <c r="L962" s="13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13"/>
      <c r="J963" s="13"/>
      <c r="K963" s="14"/>
      <c r="L963" s="13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13"/>
      <c r="J964" s="13"/>
      <c r="K964" s="14"/>
      <c r="L964" s="13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13"/>
      <c r="J965" s="13"/>
      <c r="K965" s="14"/>
      <c r="L965" s="13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13"/>
      <c r="J966" s="13"/>
      <c r="K966" s="14"/>
      <c r="L966" s="13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13"/>
      <c r="J967" s="13"/>
      <c r="K967" s="14"/>
      <c r="L967" s="13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13"/>
      <c r="J968" s="13"/>
      <c r="K968" s="14"/>
      <c r="L968" s="13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13"/>
      <c r="J969" s="13"/>
      <c r="K969" s="14"/>
      <c r="L969" s="13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13"/>
      <c r="J970" s="13"/>
      <c r="K970" s="14"/>
      <c r="L970" s="13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13"/>
      <c r="J971" s="13"/>
      <c r="K971" s="14"/>
      <c r="L971" s="13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13"/>
      <c r="J972" s="13"/>
      <c r="K972" s="14"/>
      <c r="L972" s="13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13"/>
      <c r="J973" s="13"/>
      <c r="K973" s="14"/>
      <c r="L973" s="13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13"/>
      <c r="J974" s="13"/>
      <c r="K974" s="14"/>
      <c r="L974" s="13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13"/>
      <c r="J975" s="13"/>
      <c r="K975" s="14"/>
      <c r="L975" s="13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13"/>
      <c r="J976" s="13"/>
      <c r="K976" s="14"/>
      <c r="L976" s="13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13"/>
      <c r="J977" s="13"/>
      <c r="K977" s="14"/>
      <c r="L977" s="13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13"/>
      <c r="J978" s="13"/>
      <c r="K978" s="14"/>
      <c r="L978" s="13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13"/>
      <c r="J979" s="13"/>
      <c r="K979" s="14"/>
      <c r="L979" s="13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13"/>
      <c r="J980" s="13"/>
      <c r="K980" s="14"/>
      <c r="L980" s="13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13"/>
      <c r="J981" s="13"/>
      <c r="K981" s="14"/>
      <c r="L981" s="13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13"/>
      <c r="J982" s="13"/>
      <c r="K982" s="14"/>
      <c r="L982" s="13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13"/>
      <c r="J983" s="13"/>
      <c r="K983" s="14"/>
      <c r="L983" s="13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13"/>
      <c r="J984" s="13"/>
      <c r="K984" s="14"/>
      <c r="L984" s="13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13"/>
      <c r="J985" s="13"/>
      <c r="K985" s="14"/>
      <c r="L985" s="13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13"/>
      <c r="J986" s="13"/>
      <c r="K986" s="14"/>
      <c r="L986" s="13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13"/>
      <c r="J987" s="13"/>
      <c r="K987" s="14"/>
      <c r="L987" s="13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13"/>
      <c r="J988" s="13"/>
      <c r="K988" s="14"/>
      <c r="L988" s="13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13"/>
      <c r="J989" s="13"/>
      <c r="K989" s="14"/>
      <c r="L989" s="13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13"/>
      <c r="J990" s="13"/>
      <c r="K990" s="14"/>
      <c r="L990" s="13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13"/>
      <c r="J991" s="13"/>
      <c r="K991" s="14"/>
      <c r="L991" s="13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13"/>
      <c r="J992" s="13"/>
      <c r="K992" s="14"/>
      <c r="L992" s="13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13"/>
      <c r="J993" s="13"/>
      <c r="K993" s="14"/>
      <c r="L993" s="13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B994" s="5"/>
      <c r="C994" s="5"/>
      <c r="D994" s="5"/>
      <c r="E994" s="5"/>
      <c r="F994" s="5"/>
      <c r="G994" s="5"/>
      <c r="H994" s="5"/>
      <c r="I994" s="13"/>
      <c r="J994" s="13"/>
      <c r="K994" s="14"/>
      <c r="L994" s="13"/>
      <c r="M994" s="5"/>
      <c r="N994" s="5"/>
      <c r="O994" s="1"/>
    </row>
    <row r="995" spans="1:26" ht="15" customHeight="1" x14ac:dyDescent="0.3">
      <c r="B995" s="5"/>
      <c r="C995" s="5"/>
      <c r="D995" s="5"/>
      <c r="E995" s="5"/>
      <c r="F995" s="5"/>
      <c r="G995" s="5"/>
      <c r="H995" s="5"/>
      <c r="I995" s="13"/>
      <c r="J995" s="13"/>
      <c r="K995" s="14"/>
      <c r="L995" s="13"/>
      <c r="M995" s="5"/>
      <c r="N995" s="5"/>
      <c r="O995" s="1"/>
    </row>
    <row r="996" spans="1:26" ht="15" customHeight="1" x14ac:dyDescent="0.3">
      <c r="B996" s="5"/>
      <c r="C996" s="5"/>
      <c r="D996" s="5"/>
      <c r="E996" s="5"/>
      <c r="F996" s="5"/>
      <c r="G996" s="5"/>
      <c r="H996" s="5"/>
      <c r="I996" s="13"/>
      <c r="J996" s="13"/>
      <c r="K996" s="14"/>
      <c r="L996" s="13"/>
      <c r="M996" s="5"/>
      <c r="N996" s="5"/>
      <c r="O996" s="1"/>
    </row>
    <row r="997" spans="1:26" ht="15" customHeight="1" x14ac:dyDescent="0.3">
      <c r="B997" s="5"/>
      <c r="C997" s="5"/>
      <c r="D997" s="5"/>
      <c r="E997" s="5"/>
      <c r="F997" s="5"/>
      <c r="G997" s="5"/>
      <c r="H997" s="5"/>
      <c r="I997" s="13"/>
      <c r="J997" s="13"/>
      <c r="K997" s="14"/>
      <c r="L997" s="13"/>
      <c r="M997" s="5"/>
      <c r="N997" s="5"/>
      <c r="O997" s="1"/>
    </row>
    <row r="998" spans="1:26" ht="15" customHeight="1" x14ac:dyDescent="0.3">
      <c r="B998" s="5"/>
      <c r="C998" s="5"/>
      <c r="D998" s="5"/>
      <c r="E998" s="5"/>
      <c r="F998" s="5"/>
      <c r="G998" s="5"/>
      <c r="H998" s="5"/>
      <c r="I998" s="13"/>
      <c r="J998" s="13"/>
      <c r="K998" s="14"/>
      <c r="L998" s="13"/>
      <c r="M998" s="5"/>
      <c r="N998" s="5"/>
      <c r="O998" s="1"/>
    </row>
    <row r="999" spans="1:26" ht="15" customHeight="1" x14ac:dyDescent="0.3">
      <c r="B999" s="5"/>
      <c r="C999" s="5"/>
      <c r="D999" s="5"/>
      <c r="E999" s="5"/>
      <c r="F999" s="5"/>
      <c r="G999" s="5"/>
      <c r="H999" s="5"/>
      <c r="I999" s="13"/>
      <c r="J999" s="13"/>
      <c r="K999" s="14"/>
      <c r="L999" s="13"/>
      <c r="M999" s="5"/>
      <c r="N999" s="5"/>
      <c r="O999" s="1"/>
    </row>
    <row r="1000" spans="1:26" ht="15" customHeight="1" x14ac:dyDescent="0.3">
      <c r="B1000" s="5"/>
      <c r="C1000" s="5"/>
      <c r="D1000" s="5"/>
      <c r="E1000" s="5"/>
      <c r="F1000" s="5"/>
      <c r="G1000" s="5"/>
      <c r="H1000" s="5"/>
      <c r="I1000" s="13"/>
      <c r="J1000" s="13"/>
      <c r="K1000" s="14"/>
      <c r="L1000" s="13"/>
      <c r="M1000" s="5"/>
      <c r="N1000" s="5"/>
      <c r="O1000" s="1"/>
    </row>
    <row r="1001" spans="1:26" ht="15" customHeight="1" x14ac:dyDescent="0.3">
      <c r="B1001" s="5"/>
      <c r="C1001" s="5"/>
      <c r="D1001" s="5"/>
      <c r="E1001" s="5"/>
      <c r="F1001" s="5"/>
      <c r="G1001" s="5"/>
      <c r="H1001" s="5"/>
      <c r="I1001" s="13"/>
      <c r="J1001" s="13"/>
      <c r="K1001" s="14"/>
      <c r="L1001" s="13"/>
      <c r="M1001" s="5"/>
      <c r="N1001" s="5"/>
      <c r="O1001" s="1"/>
    </row>
    <row r="1002" spans="1:26" ht="15" customHeight="1" x14ac:dyDescent="0.3">
      <c r="B1002" s="5"/>
      <c r="C1002" s="5"/>
      <c r="D1002" s="5"/>
      <c r="E1002" s="5"/>
      <c r="F1002" s="5"/>
      <c r="G1002" s="5"/>
      <c r="H1002" s="5"/>
      <c r="I1002" s="13"/>
      <c r="J1002" s="13"/>
      <c r="K1002" s="14"/>
      <c r="L1002" s="13"/>
      <c r="M1002" s="5"/>
      <c r="N1002" s="5"/>
      <c r="O1002" s="1"/>
    </row>
    <row r="1003" spans="1:26" ht="15" customHeight="1" x14ac:dyDescent="0.3">
      <c r="B1003" s="5"/>
      <c r="C1003" s="5"/>
      <c r="D1003" s="5"/>
      <c r="E1003" s="5"/>
      <c r="F1003" s="5"/>
      <c r="G1003" s="5"/>
      <c r="H1003" s="5"/>
      <c r="I1003" s="13"/>
      <c r="J1003" s="13"/>
      <c r="K1003" s="14"/>
      <c r="L1003" s="13"/>
      <c r="M1003" s="5"/>
      <c r="N1003" s="5"/>
      <c r="O1003" s="1"/>
    </row>
    <row r="1004" spans="1:26" ht="15" customHeight="1" x14ac:dyDescent="0.3">
      <c r="B1004" s="5"/>
      <c r="C1004" s="5"/>
      <c r="D1004" s="5"/>
      <c r="E1004" s="5"/>
      <c r="F1004" s="5"/>
      <c r="G1004" s="5"/>
      <c r="H1004" s="5"/>
      <c r="I1004" s="13"/>
      <c r="J1004" s="13"/>
      <c r="K1004" s="14"/>
      <c r="L1004" s="13"/>
      <c r="M1004" s="5"/>
      <c r="N1004" s="5"/>
      <c r="O1004" s="1"/>
    </row>
  </sheetData>
  <mergeCells count="1">
    <mergeCell ref="B3:O3"/>
  </mergeCells>
  <phoneticPr fontId="18" type="noConversion"/>
  <conditionalFormatting sqref="K11:K15 K6:K7">
    <cfRule type="colorScale" priority="66">
      <colorScale>
        <cfvo type="min"/>
        <cfvo type="max"/>
        <color rgb="FFFFFFFF"/>
        <color rgb="FF57BB8A"/>
      </colorScale>
    </cfRule>
  </conditionalFormatting>
  <conditionalFormatting sqref="K16:K17">
    <cfRule type="colorScale" priority="75">
      <colorScale>
        <cfvo type="min"/>
        <cfvo type="max"/>
        <color rgb="FFFFFFFF"/>
        <color rgb="FF57BB8A"/>
      </colorScale>
    </cfRule>
  </conditionalFormatting>
  <conditionalFormatting sqref="L6:L17">
    <cfRule type="colorScale" priority="76">
      <colorScale>
        <cfvo type="min"/>
        <cfvo type="max"/>
        <color rgb="FF57BB8A"/>
        <color rgb="FFFFFFFF"/>
      </colorScale>
    </cfRule>
  </conditionalFormatting>
  <conditionalFormatting sqref="L14:L15 L7">
    <cfRule type="colorScale" priority="49">
      <colorScale>
        <cfvo type="min"/>
        <cfvo type="max"/>
        <color rgb="FF57BB8A"/>
        <color rgb="FFFFFFFF"/>
      </colorScale>
    </cfRule>
  </conditionalFormatting>
  <conditionalFormatting sqref="K18:K19">
    <cfRule type="colorScale" priority="24">
      <colorScale>
        <cfvo type="min"/>
        <cfvo type="max"/>
        <color rgb="FFFFFFFF"/>
        <color rgb="FF57BB8A"/>
      </colorScale>
    </cfRule>
  </conditionalFormatting>
  <conditionalFormatting sqref="L18:L20">
    <cfRule type="colorScale" priority="25">
      <colorScale>
        <cfvo type="min"/>
        <cfvo type="max"/>
        <color rgb="FF57BB8A"/>
        <color rgb="FFFFFFFF"/>
      </colorScale>
    </cfRule>
  </conditionalFormatting>
  <conditionalFormatting sqref="L19">
    <cfRule type="colorScale" priority="23">
      <colorScale>
        <cfvo type="min"/>
        <cfvo type="max"/>
        <color rgb="FF57BB8A"/>
        <color rgb="FFFFFFFF"/>
      </colorScale>
    </cfRule>
  </conditionalFormatting>
  <conditionalFormatting sqref="L21">
    <cfRule type="colorScale" priority="22">
      <colorScale>
        <cfvo type="min"/>
        <cfvo type="max"/>
        <color rgb="FF57BB8A"/>
        <color rgb="FFFFFFFF"/>
      </colorScale>
    </cfRule>
  </conditionalFormatting>
  <conditionalFormatting sqref="L22">
    <cfRule type="colorScale" priority="21">
      <colorScale>
        <cfvo type="min"/>
        <cfvo type="max"/>
        <color rgb="FF57BB8A"/>
        <color rgb="FFFFFFFF"/>
      </colorScale>
    </cfRule>
  </conditionalFormatting>
  <conditionalFormatting sqref="L23">
    <cfRule type="colorScale" priority="20">
      <colorScale>
        <cfvo type="min"/>
        <cfvo type="max"/>
        <color rgb="FF57BB8A"/>
        <color rgb="FFFFFFFF"/>
      </colorScale>
    </cfRule>
  </conditionalFormatting>
  <conditionalFormatting sqref="L24">
    <cfRule type="colorScale" priority="19">
      <colorScale>
        <cfvo type="min"/>
        <cfvo type="max"/>
        <color rgb="FF57BB8A"/>
        <color rgb="FFFFFFFF"/>
      </colorScale>
    </cfRule>
  </conditionalFormatting>
  <conditionalFormatting sqref="L25">
    <cfRule type="colorScale" priority="18">
      <colorScale>
        <cfvo type="min"/>
        <cfvo type="max"/>
        <color rgb="FF57BB8A"/>
        <color rgb="FFFFFFFF"/>
      </colorScale>
    </cfRule>
  </conditionalFormatting>
  <conditionalFormatting sqref="L26">
    <cfRule type="colorScale" priority="17">
      <colorScale>
        <cfvo type="min"/>
        <cfvo type="max"/>
        <color rgb="FF57BB8A"/>
        <color rgb="FFFFFFFF"/>
      </colorScale>
    </cfRule>
  </conditionalFormatting>
  <conditionalFormatting sqref="L27">
    <cfRule type="colorScale" priority="16">
      <colorScale>
        <cfvo type="min"/>
        <cfvo type="max"/>
        <color rgb="FF57BB8A"/>
        <color rgb="FFFFFFFF"/>
      </colorScale>
    </cfRule>
  </conditionalFormatting>
  <conditionalFormatting sqref="L28:L29">
    <cfRule type="colorScale" priority="15">
      <colorScale>
        <cfvo type="min"/>
        <cfvo type="max"/>
        <color rgb="FF57BB8A"/>
        <color rgb="FFFFFFFF"/>
      </colorScale>
    </cfRule>
  </conditionalFormatting>
  <conditionalFormatting sqref="L34">
    <cfRule type="colorScale" priority="14">
      <colorScale>
        <cfvo type="min"/>
        <cfvo type="max"/>
        <color rgb="FF57BB8A"/>
        <color rgb="FFFFFFFF"/>
      </colorScale>
    </cfRule>
  </conditionalFormatting>
  <conditionalFormatting sqref="L35">
    <cfRule type="colorScale" priority="13">
      <colorScale>
        <cfvo type="min"/>
        <cfvo type="max"/>
        <color rgb="FF57BB8A"/>
        <color rgb="FFFFFFFF"/>
      </colorScale>
    </cfRule>
  </conditionalFormatting>
  <conditionalFormatting sqref="L36">
    <cfRule type="colorScale" priority="12">
      <colorScale>
        <cfvo type="min"/>
        <cfvo type="max"/>
        <color rgb="FF57BB8A"/>
        <color rgb="FFFFFFFF"/>
      </colorScale>
    </cfRule>
  </conditionalFormatting>
  <conditionalFormatting sqref="L37">
    <cfRule type="colorScale" priority="11">
      <colorScale>
        <cfvo type="min"/>
        <cfvo type="max"/>
        <color rgb="FF57BB8A"/>
        <color rgb="FFFFFFFF"/>
      </colorScale>
    </cfRule>
  </conditionalFormatting>
  <conditionalFormatting sqref="L38">
    <cfRule type="colorScale" priority="10">
      <colorScale>
        <cfvo type="min"/>
        <cfvo type="max"/>
        <color rgb="FF57BB8A"/>
        <color rgb="FFFFFFFF"/>
      </colorScale>
    </cfRule>
  </conditionalFormatting>
  <conditionalFormatting sqref="L30">
    <cfRule type="colorScale" priority="9">
      <colorScale>
        <cfvo type="min"/>
        <cfvo type="max"/>
        <color rgb="FF57BB8A"/>
        <color rgb="FFFFFFFF"/>
      </colorScale>
    </cfRule>
  </conditionalFormatting>
  <conditionalFormatting sqref="L31">
    <cfRule type="colorScale" priority="8">
      <colorScale>
        <cfvo type="min"/>
        <cfvo type="max"/>
        <color rgb="FF57BB8A"/>
        <color rgb="FFFFFFFF"/>
      </colorScale>
    </cfRule>
  </conditionalFormatting>
  <conditionalFormatting sqref="L32">
    <cfRule type="colorScale" priority="7">
      <colorScale>
        <cfvo type="min"/>
        <cfvo type="max"/>
        <color rgb="FF57BB8A"/>
        <color rgb="FFFFFFFF"/>
      </colorScale>
    </cfRule>
  </conditionalFormatting>
  <conditionalFormatting sqref="L33">
    <cfRule type="colorScale" priority="6">
      <colorScale>
        <cfvo type="min"/>
        <cfvo type="max"/>
        <color rgb="FF57BB8A"/>
        <color rgb="FFFFFFFF"/>
      </colorScale>
    </cfRule>
  </conditionalFormatting>
  <conditionalFormatting sqref="L39">
    <cfRule type="colorScale" priority="5">
      <colorScale>
        <cfvo type="min"/>
        <cfvo type="max"/>
        <color rgb="FF57BB8A"/>
        <color rgb="FFFFFFFF"/>
      </colorScale>
    </cfRule>
  </conditionalFormatting>
  <conditionalFormatting sqref="L40">
    <cfRule type="colorScale" priority="4">
      <colorScale>
        <cfvo type="min"/>
        <cfvo type="max"/>
        <color rgb="FF57BB8A"/>
        <color rgb="FFFFFFFF"/>
      </colorScale>
    </cfRule>
  </conditionalFormatting>
  <conditionalFormatting sqref="L41">
    <cfRule type="colorScale" priority="3">
      <colorScale>
        <cfvo type="min"/>
        <cfvo type="max"/>
        <color rgb="FF57BB8A"/>
        <color rgb="FFFFFFFF"/>
      </colorScale>
    </cfRule>
  </conditionalFormatting>
  <conditionalFormatting sqref="L42">
    <cfRule type="colorScale" priority="2">
      <colorScale>
        <cfvo type="min"/>
        <cfvo type="max"/>
        <color rgb="FF57BB8A"/>
        <color rgb="FFFFFFFF"/>
      </colorScale>
    </cfRule>
  </conditionalFormatting>
  <conditionalFormatting sqref="L43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custom" allowBlank="1" showDropDown="1" sqref="J6:J43" xr:uid="{00000000-0002-0000-0000-000002000000}">
      <formula1>OR(NOT(ISERROR(DATEVALUE(J6))), AND(ISNUMBER(J6), LEFT(CELL("format", J6))="D"))</formula1>
    </dataValidation>
    <dataValidation type="list" allowBlank="1" showErrorMessage="1" sqref="L6:L43" xr:uid="{00000000-0002-0000-0000-000000000000}">
      <formula1>$L$51:$L$54</formula1>
    </dataValidation>
    <dataValidation type="list" allowBlank="1" showErrorMessage="1" sqref="K6:K43" xr:uid="{00000000-0002-0000-0000-000001000000}">
      <formula1>$K$51:$K$53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opLeftCell="A12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5"/>
      <c r="D4" s="15"/>
      <c r="E4" s="15"/>
      <c r="F4" s="16"/>
    </row>
    <row r="5" spans="1:26" hidden="1" x14ac:dyDescent="0.25">
      <c r="C5" s="15"/>
      <c r="D5" s="15"/>
      <c r="E5" s="15"/>
      <c r="F5" s="16"/>
    </row>
    <row r="6" spans="1:26" ht="39.75" customHeight="1" x14ac:dyDescent="0.2">
      <c r="B6" s="104" t="s">
        <v>119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26" ht="9.75" customHeight="1" x14ac:dyDescent="0.2">
      <c r="A7" s="35"/>
      <c r="B7" s="3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9.75" customHeight="1" x14ac:dyDescent="0.25">
      <c r="B8" s="36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40"/>
      <c r="Q8" s="35"/>
    </row>
    <row r="9" spans="1:26" ht="30" customHeight="1" x14ac:dyDescent="0.2">
      <c r="B9" s="41"/>
      <c r="C9" s="18" t="s">
        <v>1</v>
      </c>
      <c r="D9" s="19"/>
      <c r="E9" s="102" t="s">
        <v>120</v>
      </c>
      <c r="F9" s="60"/>
      <c r="G9" s="19"/>
      <c r="H9" s="102" t="s">
        <v>11</v>
      </c>
      <c r="I9" s="60"/>
      <c r="J9" s="20"/>
      <c r="K9" s="20"/>
      <c r="L9" s="20"/>
      <c r="M9" s="20"/>
      <c r="N9" s="20"/>
      <c r="O9" s="20"/>
      <c r="P9" s="42"/>
      <c r="Q9" s="35"/>
    </row>
    <row r="10" spans="1:26" ht="30" customHeight="1" x14ac:dyDescent="0.2">
      <c r="B10" s="41"/>
      <c r="C10" s="57" t="s">
        <v>216</v>
      </c>
      <c r="D10" s="22"/>
      <c r="E10" s="103" t="str">
        <f>VLOOKUP(C10,'Formato descripción HU'!B6:O38,5,0)</f>
        <v>Administrador/Agricultor</v>
      </c>
      <c r="F10" s="60"/>
      <c r="G10" s="23"/>
      <c r="H10" s="103" t="str">
        <f>VLOOKUP(C10,'Formato descripción HU'!B6:O38,11,0)</f>
        <v>No iniciado</v>
      </c>
      <c r="I10" s="60"/>
      <c r="J10" s="23"/>
      <c r="K10" s="20"/>
      <c r="L10" s="20"/>
      <c r="M10" s="20"/>
      <c r="N10" s="20"/>
      <c r="O10" s="20"/>
      <c r="P10" s="42"/>
      <c r="Q10" s="35"/>
    </row>
    <row r="11" spans="1:26" ht="9.75" customHeight="1" x14ac:dyDescent="0.2">
      <c r="A11" s="35"/>
      <c r="B11" s="41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0"/>
      <c r="N11" s="25"/>
      <c r="O11" s="25"/>
      <c r="P11" s="42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30" customHeight="1" x14ac:dyDescent="0.2">
      <c r="A12" s="35"/>
      <c r="B12" s="41"/>
      <c r="C12" s="18" t="s">
        <v>121</v>
      </c>
      <c r="D12" s="22"/>
      <c r="E12" s="102" t="s">
        <v>10</v>
      </c>
      <c r="F12" s="60"/>
      <c r="G12" s="23"/>
      <c r="H12" s="102" t="s">
        <v>122</v>
      </c>
      <c r="I12" s="60"/>
      <c r="J12" s="23"/>
      <c r="K12" s="25"/>
      <c r="L12" s="25"/>
      <c r="M12" s="20"/>
      <c r="N12" s="25"/>
      <c r="O12" s="25"/>
      <c r="P12" s="4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30" customHeight="1" x14ac:dyDescent="0.2">
      <c r="A13" s="35"/>
      <c r="B13" s="41"/>
      <c r="C13" s="21">
        <f>VLOOKUP('Historia de Usuario'!C10,'Formato descripción HU'!B6:O38,8,0)</f>
        <v>4</v>
      </c>
      <c r="D13" s="22"/>
      <c r="E13" s="103" t="str">
        <f>VLOOKUP(C10,'Formato descripción HU'!B6:O38,10,0)</f>
        <v xml:space="preserve">Media </v>
      </c>
      <c r="F13" s="60"/>
      <c r="G13" s="23"/>
      <c r="H13" s="103" t="str">
        <f>VLOOKUP(C10,'Formato descripción HU'!B6:O38,7,0)</f>
        <v>Alejandro Montufar</v>
      </c>
      <c r="I13" s="60"/>
      <c r="J13" s="23"/>
      <c r="K13" s="25"/>
      <c r="L13" s="25"/>
      <c r="M13" s="20"/>
      <c r="N13" s="25"/>
      <c r="O13" s="25"/>
      <c r="P13" s="42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9.75" customHeight="1" x14ac:dyDescent="0.2">
      <c r="A14" s="35"/>
      <c r="B14" s="41"/>
      <c r="C14" s="20"/>
      <c r="D14" s="22"/>
      <c r="E14" s="20"/>
      <c r="F14" s="20"/>
      <c r="G14" s="23"/>
      <c r="H14" s="23"/>
      <c r="I14" s="20"/>
      <c r="J14" s="20"/>
      <c r="K14" s="20"/>
      <c r="L14" s="20"/>
      <c r="M14" s="20"/>
      <c r="N14" s="20"/>
      <c r="O14" s="20"/>
      <c r="P14" s="42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9.5" customHeight="1" x14ac:dyDescent="0.2">
      <c r="A15" s="35"/>
      <c r="B15" s="41"/>
      <c r="C15" s="91" t="s">
        <v>123</v>
      </c>
      <c r="D15" s="87" t="str">
        <f>VLOOKUP(C10,'Formato descripción HU'!B6:O38,3,0)</f>
        <v>Registrar la clasificación poscosecha.</v>
      </c>
      <c r="E15" s="73"/>
      <c r="F15" s="26"/>
      <c r="G15" s="91" t="s">
        <v>124</v>
      </c>
      <c r="H15" s="87" t="str">
        <f>VLOOKUP(C10,'Formato descripción HU'!B6:O38,4,0)</f>
        <v>Organizar la producción de acuerdo con las categorías establecidas y controlar las mermas generadas.</v>
      </c>
      <c r="I15" s="88"/>
      <c r="J15" s="73"/>
      <c r="K15" s="26"/>
      <c r="L15" s="91" t="s">
        <v>125</v>
      </c>
      <c r="M15" s="94" t="str">
        <f>VLOOKUP(C10,'Formato descripción HU'!B6:O38,6,0)</f>
        <v>Se desarrollará un módulo para registrar la clasificación de la producción, permitiendo asociar los productos a su categoría correspondiente y aplicar las reglas de negocio relacionadas con mermas y tolerancias. El sistema almacenará los resultados obtenidos.</v>
      </c>
      <c r="N15" s="88"/>
      <c r="O15" s="73"/>
      <c r="P15" s="42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9.5" customHeight="1" x14ac:dyDescent="0.2">
      <c r="A16" s="35"/>
      <c r="B16" s="41"/>
      <c r="C16" s="92"/>
      <c r="D16" s="74"/>
      <c r="E16" s="75"/>
      <c r="F16" s="26"/>
      <c r="G16" s="92"/>
      <c r="H16" s="74"/>
      <c r="I16" s="62"/>
      <c r="J16" s="75"/>
      <c r="K16" s="26"/>
      <c r="L16" s="92"/>
      <c r="M16" s="74"/>
      <c r="N16" s="62"/>
      <c r="O16" s="75"/>
      <c r="P16" s="42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9.5" customHeight="1" x14ac:dyDescent="0.2">
      <c r="A17" s="35"/>
      <c r="B17" s="41"/>
      <c r="C17" s="93"/>
      <c r="D17" s="76"/>
      <c r="E17" s="77"/>
      <c r="F17" s="26"/>
      <c r="G17" s="93"/>
      <c r="H17" s="76"/>
      <c r="I17" s="89"/>
      <c r="J17" s="77"/>
      <c r="K17" s="26"/>
      <c r="L17" s="93"/>
      <c r="M17" s="76"/>
      <c r="N17" s="89"/>
      <c r="O17" s="77"/>
      <c r="P17" s="42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9.75" customHeight="1" x14ac:dyDescent="0.2">
      <c r="A18" s="35"/>
      <c r="B18" s="41"/>
      <c r="C18" s="20"/>
      <c r="D18" s="20"/>
      <c r="E18" s="20"/>
      <c r="F18" s="20"/>
      <c r="G18" s="23"/>
      <c r="H18" s="23"/>
      <c r="I18" s="23"/>
      <c r="J18" s="20"/>
      <c r="K18" s="20"/>
      <c r="L18" s="20"/>
      <c r="M18" s="20"/>
      <c r="N18" s="20"/>
      <c r="O18" s="20"/>
      <c r="P18" s="42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9.5" customHeight="1" x14ac:dyDescent="0.2">
      <c r="B19" s="41"/>
      <c r="C19" s="101" t="s">
        <v>126</v>
      </c>
      <c r="D19" s="73"/>
      <c r="E19" s="95" t="str">
        <f>VLOOKUP(C10,'Formato descripción HU'!B6:O38,14,0)</f>
        <v>Registrar clasificación poscosecha</v>
      </c>
      <c r="F19" s="96"/>
      <c r="G19" s="96"/>
      <c r="H19" s="96"/>
      <c r="I19" s="96"/>
      <c r="J19" s="96"/>
      <c r="K19" s="96"/>
      <c r="L19" s="96"/>
      <c r="M19" s="96"/>
      <c r="N19" s="96"/>
      <c r="O19" s="97"/>
      <c r="P19" s="42"/>
      <c r="Q19" s="35"/>
    </row>
    <row r="20" spans="1:26" ht="19.5" customHeight="1" x14ac:dyDescent="0.2">
      <c r="B20" s="41"/>
      <c r="C20" s="76"/>
      <c r="D20" s="77"/>
      <c r="E20" s="98"/>
      <c r="F20" s="99"/>
      <c r="G20" s="99"/>
      <c r="H20" s="99"/>
      <c r="I20" s="99"/>
      <c r="J20" s="99"/>
      <c r="K20" s="99"/>
      <c r="L20" s="99"/>
      <c r="M20" s="99"/>
      <c r="N20" s="99"/>
      <c r="O20" s="100"/>
      <c r="P20" s="42"/>
      <c r="Q20" s="35"/>
    </row>
    <row r="21" spans="1:26" ht="9.75" customHeight="1" x14ac:dyDescent="0.2">
      <c r="B21" s="4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2"/>
      <c r="Q21" s="35"/>
    </row>
    <row r="22" spans="1:26" ht="19.5" customHeight="1" x14ac:dyDescent="0.2">
      <c r="A22" s="35"/>
      <c r="B22" s="41"/>
      <c r="C22" s="72" t="s">
        <v>127</v>
      </c>
      <c r="D22" s="73"/>
      <c r="E22" s="78" t="str">
        <f>VLOOKUP(C10,'Formato descripción HU'!B6:O38,12,0)</f>
        <v>Registrar la clasificación de una cosecha y verificar que las categorías y cálculos aplicados se almacenen correctamente.</v>
      </c>
      <c r="F22" s="79"/>
      <c r="G22" s="79"/>
      <c r="H22" s="80"/>
      <c r="I22" s="20"/>
      <c r="J22" s="72" t="s">
        <v>13</v>
      </c>
      <c r="K22" s="73"/>
      <c r="L22" s="87" t="str">
        <f>VLOOKUP(C10,'Formato descripción HU'!B6:O38,13,0)</f>
        <v>La clasificación debe respetar las reglas de negocio definidas para el cálculo de mermas y categorías.</v>
      </c>
      <c r="M22" s="88"/>
      <c r="N22" s="88"/>
      <c r="O22" s="73"/>
      <c r="P22" s="42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9.5" customHeight="1" x14ac:dyDescent="0.2">
      <c r="A23" s="35"/>
      <c r="B23" s="41"/>
      <c r="C23" s="74"/>
      <c r="D23" s="75"/>
      <c r="E23" s="81"/>
      <c r="F23" s="82"/>
      <c r="G23" s="82"/>
      <c r="H23" s="83"/>
      <c r="I23" s="20"/>
      <c r="J23" s="74"/>
      <c r="K23" s="75"/>
      <c r="L23" s="74"/>
      <c r="M23" s="62"/>
      <c r="N23" s="62"/>
      <c r="O23" s="75"/>
      <c r="P23" s="42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9.5" customHeight="1" x14ac:dyDescent="0.2">
      <c r="A24" s="35"/>
      <c r="B24" s="41"/>
      <c r="C24" s="76"/>
      <c r="D24" s="77"/>
      <c r="E24" s="84"/>
      <c r="F24" s="85"/>
      <c r="G24" s="85"/>
      <c r="H24" s="86"/>
      <c r="I24" s="20"/>
      <c r="J24" s="76"/>
      <c r="K24" s="77"/>
      <c r="L24" s="76"/>
      <c r="M24" s="89"/>
      <c r="N24" s="89"/>
      <c r="O24" s="77"/>
      <c r="P24" s="42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9.75" customHeight="1" x14ac:dyDescent="0.2">
      <c r="A25" s="35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9.5" customHeight="1" x14ac:dyDescent="0.25">
      <c r="C26" s="15"/>
      <c r="D26" s="15"/>
      <c r="E26" s="15"/>
      <c r="F26" s="16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21" x14ac:dyDescent="0.2">
      <c r="A27" s="35"/>
      <c r="B27" s="90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9.5" customHeight="1" x14ac:dyDescent="0.2">
      <c r="A28" s="35"/>
      <c r="B28" s="3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9.5" customHeight="1" x14ac:dyDescent="0.25">
      <c r="B29" s="35"/>
      <c r="C29" s="15"/>
      <c r="D29" s="15"/>
      <c r="E29" s="15"/>
      <c r="F29" s="1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9.5" customHeight="1" x14ac:dyDescent="0.2">
      <c r="B30" s="35"/>
      <c r="C30" s="47"/>
      <c r="D30" s="30"/>
      <c r="E30" s="65"/>
      <c r="F30" s="62"/>
      <c r="G30" s="30"/>
      <c r="H30" s="65"/>
      <c r="I30" s="62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9.5" customHeight="1" x14ac:dyDescent="0.2">
      <c r="A31" s="35"/>
      <c r="B31" s="35"/>
      <c r="C31" s="47"/>
      <c r="D31" s="31"/>
      <c r="E31" s="65"/>
      <c r="F31" s="62"/>
      <c r="G31" s="32"/>
      <c r="H31" s="65"/>
      <c r="I31" s="62"/>
      <c r="J31" s="32"/>
      <c r="K31" s="49"/>
      <c r="L31" s="49"/>
      <c r="M31" s="35"/>
      <c r="N31" s="49"/>
      <c r="O31" s="49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9.5" customHeight="1" x14ac:dyDescent="0.2">
      <c r="A32" s="35"/>
      <c r="B32" s="35"/>
      <c r="C32" s="48"/>
      <c r="D32" s="31"/>
      <c r="E32" s="63"/>
      <c r="F32" s="62"/>
      <c r="G32" s="32"/>
      <c r="H32" s="63"/>
      <c r="I32" s="62"/>
      <c r="J32" s="32"/>
      <c r="K32" s="49"/>
      <c r="L32" s="49"/>
      <c r="M32" s="35"/>
      <c r="N32" s="49"/>
      <c r="O32" s="49"/>
      <c r="P32" s="35"/>
    </row>
    <row r="33" spans="1:16" ht="19.5" customHeight="1" x14ac:dyDescent="0.2">
      <c r="A33" s="35"/>
      <c r="B33" s="35"/>
      <c r="C33" s="35"/>
      <c r="D33" s="31"/>
      <c r="E33" s="35"/>
      <c r="F33" s="35"/>
      <c r="G33" s="32"/>
      <c r="H33" s="32"/>
      <c r="I33" s="35"/>
      <c r="J33" s="35"/>
      <c r="K33" s="35"/>
      <c r="L33" s="35"/>
      <c r="M33" s="35"/>
      <c r="N33" s="35"/>
      <c r="O33" s="35"/>
      <c r="P33" s="35"/>
    </row>
    <row r="34" spans="1:16" ht="19.5" customHeight="1" x14ac:dyDescent="0.2">
      <c r="A34" s="35"/>
      <c r="B34" s="35"/>
      <c r="C34" s="65"/>
      <c r="D34" s="66"/>
      <c r="E34" s="62"/>
      <c r="F34" s="33"/>
      <c r="G34" s="65"/>
      <c r="H34" s="66"/>
      <c r="I34" s="62"/>
      <c r="J34" s="62"/>
      <c r="K34" s="33"/>
      <c r="L34" s="65"/>
      <c r="M34" s="70"/>
      <c r="N34" s="62"/>
      <c r="O34" s="62"/>
      <c r="P34" s="35"/>
    </row>
    <row r="35" spans="1:16" ht="19.5" customHeight="1" x14ac:dyDescent="0.2">
      <c r="A35" s="35"/>
      <c r="B35" s="35"/>
      <c r="C35" s="62"/>
      <c r="D35" s="62"/>
      <c r="E35" s="62"/>
      <c r="F35" s="33"/>
      <c r="G35" s="62"/>
      <c r="H35" s="62"/>
      <c r="I35" s="62"/>
      <c r="J35" s="62"/>
      <c r="K35" s="33"/>
      <c r="L35" s="62"/>
      <c r="M35" s="62"/>
      <c r="N35" s="62"/>
      <c r="O35" s="62"/>
      <c r="P35" s="35"/>
    </row>
    <row r="36" spans="1:16" ht="19.5" customHeight="1" x14ac:dyDescent="0.2">
      <c r="A36" s="35"/>
      <c r="B36" s="35"/>
      <c r="C36" s="62"/>
      <c r="D36" s="62"/>
      <c r="E36" s="62"/>
      <c r="F36" s="33"/>
      <c r="G36" s="62"/>
      <c r="H36" s="62"/>
      <c r="I36" s="62"/>
      <c r="J36" s="62"/>
      <c r="K36" s="33"/>
      <c r="L36" s="62"/>
      <c r="M36" s="62"/>
      <c r="N36" s="62"/>
      <c r="O36" s="62"/>
      <c r="P36" s="35"/>
    </row>
    <row r="37" spans="1:16" ht="19.5" customHeight="1" x14ac:dyDescent="0.2">
      <c r="A37" s="35"/>
      <c r="B37" s="35"/>
      <c r="C37" s="35"/>
      <c r="D37" s="35"/>
      <c r="E37" s="35"/>
      <c r="F37" s="35"/>
      <c r="G37" s="32"/>
      <c r="H37" s="32"/>
      <c r="I37" s="32"/>
      <c r="J37" s="35"/>
      <c r="K37" s="35"/>
      <c r="L37" s="35"/>
      <c r="M37" s="35"/>
      <c r="N37" s="35"/>
      <c r="O37" s="35"/>
      <c r="P37" s="35"/>
    </row>
    <row r="38" spans="1:16" ht="19.5" customHeight="1" x14ac:dyDescent="0.2">
      <c r="B38" s="35"/>
      <c r="C38" s="69"/>
      <c r="D38" s="62"/>
      <c r="E38" s="71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35"/>
    </row>
    <row r="39" spans="1:16" ht="19.5" customHeight="1" x14ac:dyDescent="0.2">
      <c r="B39" s="35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35"/>
    </row>
    <row r="40" spans="1:16" ht="19.5" customHeight="1" x14ac:dyDescent="0.2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6" ht="19.5" customHeight="1" x14ac:dyDescent="0.2">
      <c r="A41" s="35"/>
      <c r="B41" s="35"/>
      <c r="C41" s="65"/>
      <c r="D41" s="62"/>
      <c r="E41" s="68"/>
      <c r="F41" s="62"/>
      <c r="G41" s="62"/>
      <c r="H41" s="62"/>
      <c r="I41" s="35"/>
      <c r="J41" s="65"/>
      <c r="K41" s="62"/>
      <c r="L41" s="66"/>
      <c r="M41" s="62"/>
      <c r="N41" s="62"/>
      <c r="O41" s="62"/>
      <c r="P41" s="35"/>
    </row>
    <row r="42" spans="1:16" ht="19.5" customHeight="1" x14ac:dyDescent="0.2">
      <c r="A42" s="35"/>
      <c r="B42" s="35"/>
      <c r="C42" s="62"/>
      <c r="D42" s="62"/>
      <c r="E42" s="62"/>
      <c r="F42" s="62"/>
      <c r="G42" s="62"/>
      <c r="H42" s="62"/>
      <c r="I42" s="35"/>
      <c r="J42" s="62"/>
      <c r="K42" s="62"/>
      <c r="L42" s="62"/>
      <c r="M42" s="62"/>
      <c r="N42" s="62"/>
      <c r="O42" s="62"/>
      <c r="P42" s="35"/>
    </row>
    <row r="43" spans="1:16" ht="19.5" customHeight="1" x14ac:dyDescent="0.2">
      <c r="A43" s="35"/>
      <c r="B43" s="35"/>
      <c r="C43" s="62"/>
      <c r="D43" s="62"/>
      <c r="E43" s="62"/>
      <c r="F43" s="62"/>
      <c r="G43" s="62"/>
      <c r="H43" s="62"/>
      <c r="I43" s="35"/>
      <c r="J43" s="62"/>
      <c r="K43" s="62"/>
      <c r="L43" s="62"/>
      <c r="M43" s="62"/>
      <c r="N43" s="62"/>
      <c r="O43" s="62"/>
      <c r="P43" s="35"/>
    </row>
    <row r="44" spans="1:16" ht="19.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6" ht="19.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6" ht="19.5" customHeight="1" x14ac:dyDescent="0.35">
      <c r="A46" s="35"/>
      <c r="B46" s="67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1:16" ht="19.5" customHeight="1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spans="1:16" ht="19.5" customHeight="1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ht="19.5" customHeight="1" x14ac:dyDescent="0.25">
      <c r="A49" s="35"/>
      <c r="B49" s="35"/>
      <c r="C49" s="45"/>
      <c r="D49" s="35"/>
      <c r="E49" s="64"/>
      <c r="F49" s="62"/>
      <c r="G49" s="35"/>
      <c r="H49" s="64"/>
      <c r="I49" s="62"/>
      <c r="J49" s="35"/>
      <c r="K49" s="35"/>
      <c r="L49" s="35"/>
      <c r="M49" s="35"/>
      <c r="N49" s="35"/>
      <c r="O49" s="35"/>
      <c r="P49" s="35"/>
    </row>
    <row r="50" spans="1:16" ht="19.5" customHeight="1" x14ac:dyDescent="0.25">
      <c r="A50" s="35"/>
      <c r="B50" s="35"/>
      <c r="C50" s="46"/>
      <c r="D50" s="35"/>
      <c r="E50" s="61"/>
      <c r="F50" s="62"/>
      <c r="G50" s="35"/>
      <c r="H50" s="63"/>
      <c r="I50" s="62"/>
      <c r="J50" s="35"/>
      <c r="K50" s="35"/>
      <c r="L50" s="35"/>
      <c r="M50" s="35"/>
      <c r="N50" s="35"/>
      <c r="O50" s="35"/>
      <c r="P50" s="35"/>
    </row>
    <row r="51" spans="1:16" ht="19.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ht="19.5" customHeight="1" x14ac:dyDescent="0.25">
      <c r="A52" s="35"/>
      <c r="B52" s="35"/>
      <c r="C52" s="45"/>
      <c r="D52" s="35"/>
      <c r="E52" s="64"/>
      <c r="F52" s="62"/>
      <c r="G52" s="35"/>
      <c r="H52" s="64"/>
      <c r="I52" s="62"/>
      <c r="J52" s="35"/>
      <c r="K52" s="35"/>
      <c r="L52" s="35"/>
      <c r="M52" s="35"/>
      <c r="N52" s="35"/>
      <c r="O52" s="35"/>
      <c r="P52" s="35"/>
    </row>
    <row r="53" spans="1:16" ht="15.75" customHeight="1" x14ac:dyDescent="0.25">
      <c r="A53" s="35"/>
      <c r="B53" s="35"/>
      <c r="C53" s="46"/>
      <c r="D53" s="35"/>
      <c r="E53" s="61"/>
      <c r="F53" s="62"/>
      <c r="G53" s="35"/>
      <c r="H53" s="61"/>
      <c r="I53" s="62"/>
      <c r="J53" s="35"/>
      <c r="K53" s="35"/>
      <c r="L53" s="35"/>
      <c r="M53" s="35"/>
      <c r="N53" s="35"/>
      <c r="O53" s="35"/>
      <c r="P53" s="35"/>
    </row>
    <row r="54" spans="1:16" ht="15.7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ht="15.75" customHeight="1" x14ac:dyDescent="0.2">
      <c r="A55" s="35"/>
      <c r="B55" s="35"/>
      <c r="C55" s="64"/>
      <c r="D55" s="66"/>
      <c r="E55" s="62"/>
      <c r="F55" s="35"/>
      <c r="G55" s="64"/>
      <c r="H55" s="110"/>
      <c r="I55" s="62"/>
      <c r="J55" s="62"/>
      <c r="K55" s="35"/>
      <c r="L55" s="64"/>
      <c r="M55" s="111"/>
      <c r="N55" s="62"/>
      <c r="O55" s="62"/>
      <c r="P55" s="35"/>
    </row>
    <row r="56" spans="1:16" ht="15.75" customHeight="1" x14ac:dyDescent="0.2">
      <c r="A56" s="35"/>
      <c r="B56" s="35"/>
      <c r="C56" s="62"/>
      <c r="D56" s="62"/>
      <c r="E56" s="62"/>
      <c r="F56" s="35"/>
      <c r="G56" s="62"/>
      <c r="H56" s="62"/>
      <c r="I56" s="62"/>
      <c r="J56" s="62"/>
      <c r="K56" s="35"/>
      <c r="L56" s="62"/>
      <c r="M56" s="62"/>
      <c r="N56" s="62"/>
      <c r="O56" s="62"/>
      <c r="P56" s="35"/>
    </row>
    <row r="57" spans="1:16" ht="15.75" customHeight="1" x14ac:dyDescent="0.2">
      <c r="A57" s="35"/>
      <c r="B57" s="35"/>
      <c r="C57" s="62"/>
      <c r="D57" s="62"/>
      <c r="E57" s="62"/>
      <c r="F57" s="35"/>
      <c r="G57" s="62"/>
      <c r="H57" s="62"/>
      <c r="I57" s="62"/>
      <c r="J57" s="62"/>
      <c r="K57" s="35"/>
      <c r="L57" s="62"/>
      <c r="M57" s="62"/>
      <c r="N57" s="62"/>
      <c r="O57" s="62"/>
      <c r="P57" s="35"/>
    </row>
    <row r="58" spans="1:16" ht="15.75" customHeight="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ht="15.75" customHeight="1" x14ac:dyDescent="0.2">
      <c r="A59" s="35"/>
      <c r="B59" s="35"/>
      <c r="C59" s="108"/>
      <c r="D59" s="62"/>
      <c r="E59" s="109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35"/>
    </row>
    <row r="60" spans="1:16" ht="15.75" customHeight="1" x14ac:dyDescent="0.2">
      <c r="A60" s="35"/>
      <c r="B60" s="35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35"/>
    </row>
    <row r="61" spans="1:16" ht="15.7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ht="15.75" customHeight="1" x14ac:dyDescent="0.2">
      <c r="A62" s="35"/>
      <c r="B62" s="35"/>
      <c r="C62" s="64"/>
      <c r="D62" s="62"/>
      <c r="E62" s="112"/>
      <c r="F62" s="62"/>
      <c r="G62" s="62"/>
      <c r="H62" s="62"/>
      <c r="I62" s="35"/>
      <c r="J62" s="64"/>
      <c r="K62" s="62"/>
      <c r="L62" s="114"/>
      <c r="M62" s="62"/>
      <c r="N62" s="62"/>
      <c r="O62" s="62"/>
      <c r="P62" s="35"/>
    </row>
    <row r="63" spans="1:16" ht="15.75" customHeight="1" x14ac:dyDescent="0.2">
      <c r="A63" s="35"/>
      <c r="B63" s="35"/>
      <c r="C63" s="62"/>
      <c r="D63" s="62"/>
      <c r="E63" s="62"/>
      <c r="F63" s="62"/>
      <c r="G63" s="62"/>
      <c r="H63" s="62"/>
      <c r="I63" s="35"/>
      <c r="J63" s="62"/>
      <c r="K63" s="62"/>
      <c r="L63" s="62"/>
      <c r="M63" s="62"/>
      <c r="N63" s="62"/>
      <c r="O63" s="62"/>
      <c r="P63" s="35"/>
    </row>
    <row r="64" spans="1:16" ht="15.75" customHeight="1" x14ac:dyDescent="0.2">
      <c r="A64" s="35"/>
      <c r="B64" s="35"/>
      <c r="C64" s="62"/>
      <c r="D64" s="62"/>
      <c r="E64" s="62"/>
      <c r="F64" s="62"/>
      <c r="G64" s="62"/>
      <c r="H64" s="62"/>
      <c r="I64" s="35"/>
      <c r="J64" s="62"/>
      <c r="K64" s="62"/>
      <c r="L64" s="62"/>
      <c r="M64" s="62"/>
      <c r="N64" s="62"/>
      <c r="O64" s="62"/>
      <c r="P64" s="35"/>
    </row>
    <row r="65" spans="1:16" ht="15.75" customHeight="1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ht="15.75" customHeight="1" x14ac:dyDescent="0.2"/>
    <row r="67" spans="1:16" ht="9.75" customHeight="1" x14ac:dyDescent="0.35">
      <c r="A67" s="35"/>
      <c r="B67" s="67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1:16" ht="27" customHeight="1" x14ac:dyDescent="0.35">
      <c r="A68" s="35"/>
      <c r="B68" s="67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1:16" ht="15.75" customHeight="1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ht="15.75" customHeight="1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ht="15.75" customHeight="1" x14ac:dyDescent="0.25">
      <c r="A71" s="35"/>
      <c r="B71" s="35"/>
      <c r="C71" s="45"/>
      <c r="D71" s="35"/>
      <c r="E71" s="64"/>
      <c r="F71" s="62"/>
      <c r="G71" s="35"/>
      <c r="H71" s="64"/>
      <c r="I71" s="62"/>
      <c r="J71" s="35"/>
      <c r="K71" s="35"/>
      <c r="L71" s="35"/>
      <c r="M71" s="35"/>
      <c r="N71" s="35"/>
      <c r="O71" s="35"/>
      <c r="P71" s="35"/>
    </row>
    <row r="72" spans="1:16" ht="15.75" customHeight="1" x14ac:dyDescent="0.25">
      <c r="A72" s="35"/>
      <c r="B72" s="35"/>
      <c r="C72" s="45"/>
      <c r="D72" s="35"/>
      <c r="E72" s="64"/>
      <c r="F72" s="62"/>
      <c r="G72" s="35"/>
      <c r="H72" s="64"/>
      <c r="I72" s="62"/>
      <c r="J72" s="35"/>
      <c r="K72" s="35"/>
      <c r="L72" s="35"/>
      <c r="M72" s="35"/>
      <c r="N72" s="35"/>
      <c r="O72" s="35"/>
      <c r="P72" s="35"/>
    </row>
    <row r="73" spans="1:16" ht="15.75" customHeight="1" x14ac:dyDescent="0.25">
      <c r="A73" s="35"/>
      <c r="B73" s="35"/>
      <c r="C73" s="46"/>
      <c r="D73" s="35"/>
      <c r="E73" s="61"/>
      <c r="F73" s="62"/>
      <c r="G73" s="35"/>
      <c r="H73" s="61"/>
      <c r="I73" s="62"/>
      <c r="J73" s="35"/>
      <c r="K73" s="35"/>
      <c r="L73" s="35"/>
      <c r="M73" s="35"/>
      <c r="N73" s="35"/>
      <c r="O73" s="35"/>
      <c r="P73" s="35"/>
    </row>
    <row r="74" spans="1:16" ht="15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ht="15.75" customHeight="1" x14ac:dyDescent="0.2">
      <c r="A75" s="35"/>
      <c r="B75" s="35"/>
      <c r="C75" s="64"/>
      <c r="D75" s="113"/>
      <c r="E75" s="62"/>
      <c r="F75" s="35"/>
      <c r="G75" s="64"/>
      <c r="H75" s="110"/>
      <c r="I75" s="62"/>
      <c r="J75" s="62"/>
      <c r="K75" s="35"/>
      <c r="L75" s="64"/>
      <c r="M75" s="111"/>
      <c r="N75" s="62"/>
      <c r="O75" s="62"/>
      <c r="P75" s="35"/>
    </row>
    <row r="76" spans="1:16" ht="15.75" customHeight="1" x14ac:dyDescent="0.2">
      <c r="A76" s="35"/>
      <c r="B76" s="35"/>
      <c r="C76" s="62"/>
      <c r="D76" s="62"/>
      <c r="E76" s="62"/>
      <c r="F76" s="35"/>
      <c r="G76" s="62"/>
      <c r="H76" s="62"/>
      <c r="I76" s="62"/>
      <c r="J76" s="62"/>
      <c r="K76" s="35"/>
      <c r="L76" s="62"/>
      <c r="M76" s="62"/>
      <c r="N76" s="62"/>
      <c r="O76" s="62"/>
      <c r="P76" s="35"/>
    </row>
    <row r="77" spans="1:16" ht="15.75" customHeight="1" x14ac:dyDescent="0.2">
      <c r="A77" s="35"/>
      <c r="B77" s="35"/>
      <c r="C77" s="62"/>
      <c r="D77" s="62"/>
      <c r="E77" s="62"/>
      <c r="F77" s="35"/>
      <c r="G77" s="62"/>
      <c r="H77" s="62"/>
      <c r="I77" s="62"/>
      <c r="J77" s="62"/>
      <c r="K77" s="35"/>
      <c r="L77" s="62"/>
      <c r="M77" s="62"/>
      <c r="N77" s="62"/>
      <c r="O77" s="62"/>
      <c r="P77" s="35"/>
    </row>
    <row r="78" spans="1:16" ht="15.75" customHeight="1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ht="15.75" customHeight="1" x14ac:dyDescent="0.2">
      <c r="A79" s="35"/>
      <c r="B79" s="35"/>
      <c r="C79" s="108"/>
      <c r="D79" s="62"/>
      <c r="E79" s="109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35"/>
    </row>
    <row r="80" spans="1:16" ht="15.75" customHeight="1" x14ac:dyDescent="0.2">
      <c r="A80" s="35"/>
      <c r="B80" s="35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35"/>
    </row>
    <row r="81" spans="1:16" ht="15.75" customHeight="1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ht="15.75" customHeight="1" x14ac:dyDescent="0.2">
      <c r="A82" s="35"/>
      <c r="B82" s="35"/>
      <c r="C82" s="64"/>
      <c r="D82" s="62"/>
      <c r="E82" s="112"/>
      <c r="F82" s="62"/>
      <c r="G82" s="62"/>
      <c r="H82" s="62"/>
      <c r="I82" s="35"/>
      <c r="J82" s="64"/>
      <c r="K82" s="62"/>
      <c r="L82" s="106"/>
      <c r="M82" s="62"/>
      <c r="N82" s="62"/>
      <c r="O82" s="62"/>
      <c r="P82" s="35"/>
    </row>
    <row r="83" spans="1:16" ht="15.75" customHeight="1" x14ac:dyDescent="0.2">
      <c r="A83" s="35"/>
      <c r="B83" s="35"/>
      <c r="C83" s="62"/>
      <c r="D83" s="62"/>
      <c r="E83" s="62"/>
      <c r="F83" s="62"/>
      <c r="G83" s="62"/>
      <c r="H83" s="62"/>
      <c r="I83" s="35"/>
      <c r="J83" s="62"/>
      <c r="K83" s="62"/>
      <c r="L83" s="62"/>
      <c r="M83" s="62"/>
      <c r="N83" s="62"/>
      <c r="O83" s="62"/>
      <c r="P83" s="35"/>
    </row>
    <row r="84" spans="1:16" ht="15.75" customHeight="1" x14ac:dyDescent="0.2">
      <c r="A84" s="35"/>
      <c r="B84" s="35"/>
      <c r="C84" s="62"/>
      <c r="D84" s="62"/>
      <c r="E84" s="62"/>
      <c r="F84" s="62"/>
      <c r="G84" s="62"/>
      <c r="H84" s="62"/>
      <c r="I84" s="35"/>
      <c r="J84" s="62"/>
      <c r="K84" s="62"/>
      <c r="L84" s="62"/>
      <c r="M84" s="62"/>
      <c r="N84" s="62"/>
      <c r="O84" s="62"/>
      <c r="P84" s="35"/>
    </row>
    <row r="85" spans="1:16" ht="15.75" customHeight="1" x14ac:dyDescent="0.2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ht="15.75" customHeight="1" x14ac:dyDescent="0.2">
      <c r="A86" s="35"/>
    </row>
    <row r="87" spans="1:16" ht="21" x14ac:dyDescent="0.35">
      <c r="A87" s="35"/>
      <c r="B87" s="67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</row>
    <row r="88" spans="1:16" ht="15.75" customHeight="1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ht="15.75" customHeight="1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ht="15.75" customHeight="1" x14ac:dyDescent="0.25">
      <c r="A90" s="35"/>
      <c r="B90" s="35"/>
      <c r="C90" s="45"/>
      <c r="D90" s="35"/>
      <c r="E90" s="64"/>
      <c r="F90" s="62"/>
      <c r="G90" s="35"/>
      <c r="H90" s="64"/>
      <c r="I90" s="62"/>
      <c r="J90" s="35"/>
      <c r="K90" s="35"/>
      <c r="L90" s="35"/>
      <c r="M90" s="35"/>
      <c r="N90" s="35"/>
      <c r="O90" s="35"/>
      <c r="P90" s="35"/>
    </row>
    <row r="91" spans="1:16" ht="15.75" customHeight="1" x14ac:dyDescent="0.25">
      <c r="A91" s="35"/>
      <c r="B91" s="35"/>
      <c r="C91" s="46"/>
      <c r="D91" s="35"/>
      <c r="E91" s="61"/>
      <c r="F91" s="62"/>
      <c r="G91" s="35"/>
      <c r="H91" s="61"/>
      <c r="I91" s="62"/>
      <c r="J91" s="35"/>
      <c r="K91" s="35"/>
      <c r="L91" s="35"/>
      <c r="M91" s="35"/>
      <c r="N91" s="35"/>
      <c r="O91" s="35"/>
      <c r="P91" s="35"/>
    </row>
    <row r="92" spans="1:16" ht="15.75" customHeight="1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ht="15.75" customHeight="1" x14ac:dyDescent="0.2">
      <c r="A93" s="35"/>
      <c r="B93" s="35"/>
      <c r="C93" s="64"/>
      <c r="D93" s="110"/>
      <c r="E93" s="62"/>
      <c r="F93" s="35"/>
      <c r="G93" s="64"/>
      <c r="H93" s="110"/>
      <c r="I93" s="62"/>
      <c r="J93" s="62"/>
      <c r="K93" s="35"/>
      <c r="L93" s="64"/>
      <c r="M93" s="107"/>
      <c r="N93" s="62"/>
      <c r="O93" s="62"/>
      <c r="P93" s="35"/>
    </row>
    <row r="94" spans="1:16" ht="15.75" customHeight="1" x14ac:dyDescent="0.2">
      <c r="A94" s="35"/>
      <c r="B94" s="35"/>
      <c r="C94" s="62"/>
      <c r="D94" s="62"/>
      <c r="E94" s="62"/>
      <c r="F94" s="35"/>
      <c r="G94" s="62"/>
      <c r="H94" s="62"/>
      <c r="I94" s="62"/>
      <c r="J94" s="62"/>
      <c r="K94" s="35"/>
      <c r="L94" s="62"/>
      <c r="M94" s="62"/>
      <c r="N94" s="62"/>
      <c r="O94" s="62"/>
      <c r="P94" s="35"/>
    </row>
    <row r="95" spans="1:16" ht="15.75" customHeight="1" x14ac:dyDescent="0.2">
      <c r="A95" s="35"/>
      <c r="B95" s="35"/>
      <c r="C95" s="62"/>
      <c r="D95" s="62"/>
      <c r="E95" s="62"/>
      <c r="F95" s="35"/>
      <c r="G95" s="62"/>
      <c r="H95" s="62"/>
      <c r="I95" s="62"/>
      <c r="J95" s="62"/>
      <c r="K95" s="35"/>
      <c r="L95" s="62"/>
      <c r="M95" s="62"/>
      <c r="N95" s="62"/>
      <c r="O95" s="62"/>
      <c r="P95" s="35"/>
    </row>
    <row r="96" spans="1:16" ht="15.7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ht="15.75" customHeight="1" x14ac:dyDescent="0.2">
      <c r="A97" s="35"/>
      <c r="B97" s="35"/>
      <c r="C97" s="108"/>
      <c r="D97" s="62"/>
      <c r="E97" s="109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35"/>
    </row>
    <row r="98" spans="1:16" ht="15.75" customHeight="1" x14ac:dyDescent="0.2">
      <c r="A98" s="35"/>
      <c r="B98" s="35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35"/>
    </row>
    <row r="99" spans="1:16" ht="15.75" customHeight="1" x14ac:dyDescent="0.2">
      <c r="A99" s="35"/>
      <c r="B99" s="35"/>
      <c r="C99" s="35"/>
      <c r="D99" s="35"/>
      <c r="E99" s="34"/>
      <c r="F99" s="34"/>
      <c r="G99" s="34"/>
      <c r="H99" s="34"/>
      <c r="I99" s="35"/>
      <c r="J99" s="35"/>
      <c r="K99" s="35"/>
      <c r="L99" s="35"/>
      <c r="M99" s="35"/>
      <c r="N99" s="35"/>
      <c r="O99" s="35"/>
      <c r="P99" s="35"/>
    </row>
    <row r="100" spans="1:16" ht="15.75" customHeight="1" x14ac:dyDescent="0.2">
      <c r="A100" s="35"/>
      <c r="B100" s="35"/>
      <c r="C100" s="64"/>
      <c r="D100" s="62"/>
      <c r="E100" s="105"/>
      <c r="F100" s="62"/>
      <c r="G100" s="62"/>
      <c r="H100" s="62"/>
      <c r="I100" s="35"/>
      <c r="J100" s="64"/>
      <c r="K100" s="62"/>
      <c r="L100" s="106"/>
      <c r="M100" s="62"/>
      <c r="N100" s="62"/>
      <c r="O100" s="62"/>
      <c r="P100" s="35"/>
    </row>
    <row r="101" spans="1:16" ht="15.75" customHeight="1" x14ac:dyDescent="0.2">
      <c r="A101" s="35"/>
      <c r="B101" s="35"/>
      <c r="C101" s="62"/>
      <c r="D101" s="62"/>
      <c r="E101" s="62"/>
      <c r="F101" s="62"/>
      <c r="G101" s="62"/>
      <c r="H101" s="62"/>
      <c r="I101" s="35"/>
      <c r="J101" s="62"/>
      <c r="K101" s="62"/>
      <c r="L101" s="62"/>
      <c r="M101" s="62"/>
      <c r="N101" s="62"/>
      <c r="O101" s="62"/>
      <c r="P101" s="35"/>
    </row>
    <row r="102" spans="1:16" ht="15.75" customHeight="1" x14ac:dyDescent="0.2">
      <c r="A102" s="35"/>
      <c r="B102" s="35"/>
      <c r="C102" s="62"/>
      <c r="D102" s="62"/>
      <c r="E102" s="62"/>
      <c r="F102" s="62"/>
      <c r="G102" s="62"/>
      <c r="H102" s="62"/>
      <c r="I102" s="35"/>
      <c r="J102" s="62"/>
      <c r="K102" s="62"/>
      <c r="L102" s="62"/>
      <c r="M102" s="62"/>
      <c r="N102" s="62"/>
      <c r="O102" s="62"/>
      <c r="P102" s="35"/>
    </row>
    <row r="103" spans="1:16" ht="15.75" customHeight="1" x14ac:dyDescent="0.2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ht="15.75" customHeight="1" x14ac:dyDescent="0.2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ht="15.75" customHeight="1" x14ac:dyDescent="0.35">
      <c r="B105" s="67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HU'!$B$6:$B$22</xm:f>
          </x14:formula1>
          <xm:sqref>C50:C51 C11</xm:sqref>
        </x14:dataValidation>
        <x14:dataValidation type="list" allowBlank="1" showErrorMessage="1" xr:uid="{0F030D2F-E55A-47ED-87A1-0DFCEAB4BC9C}">
          <x14:formula1>
            <xm:f>'Formato descripción HU'!$B$6:$B$38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JR-HP</dc:creator>
  <cp:keywords/>
  <dc:description/>
  <cp:lastModifiedBy>Jerson Llumiquinga M.</cp:lastModifiedBy>
  <cp:revision/>
  <dcterms:created xsi:type="dcterms:W3CDTF">2019-10-21T15:37:14Z</dcterms:created>
  <dcterms:modified xsi:type="dcterms:W3CDTF">2026-07-14T10:57:23Z</dcterms:modified>
  <cp:category/>
  <cp:contentStatus/>
</cp:coreProperties>
</file>