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UNI\Software\04-08\ADS\"/>
    </mc:Choice>
  </mc:AlternateContent>
  <xr:revisionPtr revIDLastSave="0" documentId="13_ncr:1_{F5711A92-F4CE-4165-AEAC-F5BB871652FF}" xr6:coauthVersionLast="47" xr6:coauthVersionMax="47" xr10:uidLastSave="{00000000-0000-0000-0000-000000000000}"/>
  <workbookProtection lockStructure="1"/>
  <bookViews>
    <workbookView xWindow="14295" yWindow="0" windowWidth="14610" windowHeight="15585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D39" i="5" s="1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D9" i="5" s="1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D14" i="5" s="1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D6" i="5" s="1" a="1"/>
  <c r="I11" i="2" a="1"/>
  <c r="H29" i="2"/>
  <c r="I28" i="2" a="1"/>
  <c r="H47" i="2"/>
  <c r="H42" i="2"/>
  <c r="I36" i="2" a="1"/>
  <c r="I30" i="2" a="1"/>
  <c r="I24" i="2" a="1"/>
  <c r="D24" i="5" s="1" a="1"/>
  <c r="I18" i="2" a="1"/>
  <c r="I12" i="2" a="1"/>
  <c r="D12" i="5" s="1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1" i="5" l="1" a="1"/>
  <c r="D25" i="5" a="1"/>
  <c r="D27" i="5" a="1"/>
  <c r="D16" i="5" a="1"/>
  <c r="D34" i="5" a="1"/>
  <c r="D22" i="5" a="1"/>
  <c r="D45" i="5" a="1"/>
  <c r="D46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M89" i="5"/>
  <c r="L76" i="5"/>
  <c r="N18" i="5"/>
  <c r="L101" i="5"/>
  <c r="L50" i="5"/>
  <c r="L51" i="5"/>
  <c r="M59" i="5"/>
  <c r="L55" i="5"/>
  <c r="L82" i="5"/>
  <c r="N81" i="5"/>
  <c r="M50" i="5"/>
  <c r="M17" i="5"/>
  <c r="L17" i="5"/>
  <c r="M66" i="5"/>
  <c r="L71" i="5"/>
  <c r="M51" i="5"/>
  <c r="N31" i="5"/>
  <c r="N26" i="5"/>
  <c r="L91" i="5"/>
  <c r="L34" i="5"/>
  <c r="L64" i="5"/>
  <c r="N57" i="5"/>
  <c r="L45" i="5"/>
  <c r="L19" i="5"/>
  <c r="L14" i="5"/>
  <c r="M32" i="5"/>
  <c r="L41" i="5"/>
  <c r="M69" i="5"/>
  <c r="L40" i="5"/>
  <c r="M99" i="5"/>
  <c r="N85" i="5"/>
  <c r="L4" i="5"/>
  <c r="N17" i="5"/>
  <c r="N32" i="5"/>
  <c r="M23" i="5"/>
  <c r="N21" i="5"/>
  <c r="M61" i="5"/>
  <c r="N58" i="5"/>
  <c r="N80" i="5"/>
  <c r="L99" i="5"/>
  <c r="M80" i="5"/>
  <c r="L7" i="5"/>
  <c r="L6" i="5"/>
  <c r="L56" i="5"/>
  <c r="L46" i="5"/>
  <c r="L96" i="5"/>
  <c r="M46" i="5"/>
  <c r="M86" i="5"/>
  <c r="M30" i="5"/>
  <c r="M77" i="5"/>
  <c r="N3" i="5"/>
  <c r="N4" i="5"/>
  <c r="M63" i="5"/>
  <c r="L21" i="5"/>
  <c r="L70" i="5"/>
  <c r="M90" i="5"/>
  <c r="M96" i="5"/>
  <c r="L57" i="5"/>
  <c r="M11" i="5"/>
  <c r="M31" i="5"/>
  <c r="N29" i="5"/>
  <c r="N64" i="5"/>
  <c r="N86" i="5"/>
  <c r="M40" i="5"/>
  <c r="N98" i="5"/>
  <c r="N43" i="5"/>
  <c r="M101" i="5"/>
  <c r="L22" i="5"/>
  <c r="N33" i="5"/>
  <c r="M38" i="5"/>
  <c r="N99" i="5"/>
  <c r="N63" i="5"/>
  <c r="N37" i="5"/>
  <c r="N24" i="5"/>
  <c r="N51" i="5"/>
  <c r="M65" i="5"/>
  <c r="L92" i="5"/>
  <c r="L44" i="5"/>
  <c r="N82" i="5"/>
  <c r="N73" i="5"/>
  <c r="L33" i="5"/>
  <c r="L73" i="5"/>
  <c r="L62" i="5"/>
  <c r="M67" i="5"/>
  <c r="N6" i="5"/>
  <c r="L42" i="5"/>
  <c r="L74" i="5"/>
  <c r="L58" i="5"/>
  <c r="N47" i="5"/>
  <c r="N50" i="5"/>
  <c r="M78" i="5"/>
  <c r="N84" i="5"/>
  <c r="N9" i="5"/>
  <c r="N65" i="5"/>
  <c r="N91" i="5"/>
  <c r="N62" i="5"/>
  <c r="M8" i="5"/>
  <c r="M94" i="5"/>
  <c r="L5" i="5"/>
  <c r="N23" i="5"/>
  <c r="N72" i="5"/>
  <c r="M27" i="5"/>
  <c r="M95" i="5"/>
  <c r="L66" i="5"/>
  <c r="L27" i="5"/>
  <c r="N100" i="5"/>
  <c r="M72" i="5"/>
  <c r="M34" i="5"/>
  <c r="M82" i="5"/>
  <c r="M10" i="5"/>
  <c r="L94" i="5"/>
  <c r="M3" i="5"/>
  <c r="M92" i="5"/>
  <c r="L98" i="5"/>
  <c r="M48" i="5"/>
  <c r="N39" i="5"/>
  <c r="M76" i="5"/>
  <c r="L52" i="5"/>
  <c r="N55" i="5"/>
  <c r="L87" i="5"/>
  <c r="N7" i="5"/>
  <c r="M64" i="5"/>
  <c r="M81" i="5"/>
  <c r="N13" i="5"/>
  <c r="M36" i="5"/>
  <c r="N15" i="5"/>
  <c r="L67" i="5"/>
  <c r="N93" i="5"/>
  <c r="N30" i="5"/>
  <c r="L78" i="5"/>
  <c r="M44" i="5"/>
  <c r="N75" i="5"/>
  <c r="L47" i="5"/>
  <c r="M54" i="5"/>
  <c r="M7" i="5"/>
  <c r="N78" i="5"/>
  <c r="L10" i="5"/>
  <c r="M24" i="5"/>
  <c r="M13" i="5"/>
  <c r="L38" i="5"/>
  <c r="L2" i="5"/>
  <c r="N83" i="5"/>
  <c r="M6" i="5"/>
  <c r="N88" i="5"/>
  <c r="M74" i="5"/>
  <c r="M49" i="5"/>
  <c r="L61" i="5"/>
  <c r="M22" i="5"/>
  <c r="M29" i="5"/>
  <c r="L77" i="5"/>
  <c r="L80" i="5"/>
  <c r="L93" i="5"/>
  <c r="M88" i="5"/>
  <c r="N22" i="5"/>
  <c r="L83" i="5"/>
  <c r="N20" i="5"/>
  <c r="N79" i="5"/>
  <c r="N5" i="5"/>
  <c r="M21" i="5"/>
  <c r="L29" i="5"/>
  <c r="M41" i="5"/>
  <c r="N48" i="5"/>
  <c r="L100" i="5"/>
  <c r="L32" i="5"/>
  <c r="N76" i="5"/>
  <c r="M28" i="5"/>
  <c r="M83" i="5"/>
  <c r="L54" i="5"/>
  <c r="L16" i="5"/>
  <c r="N56" i="5"/>
  <c r="L39" i="5"/>
  <c r="M16" i="5"/>
  <c r="M98" i="5"/>
  <c r="M79" i="5"/>
  <c r="N68" i="5"/>
  <c r="N74" i="5"/>
  <c r="N52" i="5"/>
  <c r="L30" i="5"/>
  <c r="L65" i="5"/>
  <c r="N45" i="5"/>
  <c r="N95" i="5"/>
  <c r="M84" i="5"/>
  <c r="N53" i="5"/>
  <c r="M18" i="5"/>
  <c r="M85" i="5"/>
  <c r="L11" i="5"/>
  <c r="M5" i="5"/>
  <c r="M45" i="5"/>
  <c r="M60" i="5"/>
  <c r="L20" i="5"/>
  <c r="L15" i="5"/>
  <c r="L97" i="5"/>
  <c r="N19" i="5"/>
  <c r="N44" i="5"/>
  <c r="M57" i="5"/>
  <c r="L81" i="5"/>
  <c r="M39" i="5"/>
  <c r="L63" i="5"/>
  <c r="M2" i="5"/>
  <c r="N38" i="5"/>
  <c r="M19" i="5"/>
  <c r="N70" i="5"/>
  <c r="L89" i="5"/>
  <c r="N67" i="5"/>
  <c r="L48" i="5"/>
  <c r="M68" i="5"/>
  <c r="M71" i="5"/>
  <c r="N25" i="5"/>
  <c r="L9" i="5"/>
  <c r="L25" i="5"/>
  <c r="M87" i="5"/>
  <c r="M12" i="5"/>
  <c r="N97" i="5"/>
  <c r="N66" i="5"/>
  <c r="N54" i="5"/>
  <c r="M35" i="5"/>
  <c r="L60" i="5"/>
  <c r="N61" i="5"/>
  <c r="L8" i="5"/>
  <c r="N28" i="5"/>
  <c r="N71" i="5"/>
  <c r="N69" i="5"/>
  <c r="N12" i="5"/>
  <c r="M97" i="5"/>
  <c r="L3" i="5"/>
  <c r="M25" i="5"/>
  <c r="N94" i="5"/>
  <c r="L84" i="5"/>
  <c r="N87" i="5"/>
  <c r="N35" i="5"/>
  <c r="N60" i="5"/>
  <c r="M20" i="5"/>
  <c r="M53" i="5"/>
  <c r="M47" i="5"/>
  <c r="N11" i="5"/>
  <c r="N8" i="5"/>
  <c r="M15" i="5"/>
  <c r="L88" i="5"/>
  <c r="N90" i="5"/>
  <c r="N46" i="5"/>
  <c r="N77" i="5"/>
  <c r="L69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100" i="5"/>
  <c r="J23" i="5"/>
  <c r="J84" i="5"/>
  <c r="J39" i="5"/>
  <c r="J6" i="5"/>
  <c r="J31" i="5"/>
  <c r="J76" i="5"/>
  <c r="J65" i="5"/>
  <c r="J80" i="5"/>
  <c r="J42" i="5"/>
  <c r="J62" i="5"/>
  <c r="J82" i="5"/>
  <c r="J2" i="5"/>
  <c r="J56" i="5"/>
  <c r="J45" i="5"/>
  <c r="J75" i="5"/>
  <c r="J43" i="5"/>
  <c r="J52" i="5"/>
  <c r="J10" i="5"/>
  <c r="J92" i="5"/>
  <c r="J91" i="5"/>
  <c r="J53" i="5"/>
  <c r="J5" i="5"/>
  <c r="J27" i="5"/>
  <c r="J55" i="5"/>
  <c r="J54" i="5"/>
  <c r="J67" i="5"/>
  <c r="J34" i="5"/>
  <c r="J68" i="5"/>
  <c r="J77" i="5"/>
  <c r="J15" i="5"/>
  <c r="J21" i="5"/>
  <c r="J51" i="5"/>
  <c r="J13" i="5"/>
  <c r="J86" i="5"/>
  <c r="J61" i="5"/>
  <c r="J4" i="5"/>
  <c r="J47" i="5"/>
  <c r="J48" i="5"/>
  <c r="J7" i="5"/>
  <c r="J96" i="5"/>
  <c r="J9" i="5"/>
  <c r="J66" i="5"/>
  <c r="J29" i="5"/>
  <c r="J85" i="5"/>
  <c r="J97" i="5"/>
  <c r="J28" i="5"/>
  <c r="J81" i="5"/>
  <c r="J30" i="5"/>
  <c r="J16" i="5"/>
  <c r="J93" i="5"/>
  <c r="J19" i="5"/>
  <c r="J44" i="5"/>
  <c r="J94" i="5"/>
  <c r="J78" i="5"/>
  <c r="J8" i="5"/>
  <c r="J70" i="5"/>
  <c r="J41" i="5"/>
  <c r="J14" i="5"/>
  <c r="J24" i="5"/>
  <c r="J60" i="5"/>
  <c r="J46" i="5"/>
  <c r="J40" i="5"/>
  <c r="J73" i="5"/>
  <c r="J25" i="5"/>
  <c r="J50" i="5"/>
  <c r="J38" i="5"/>
  <c r="J58" i="5"/>
  <c r="J69" i="5"/>
  <c r="J3" i="5"/>
  <c r="J12" i="5"/>
  <c r="J36" i="5"/>
  <c r="J83" i="5"/>
  <c r="J20" i="5"/>
  <c r="J57" i="5"/>
  <c r="J22" i="5"/>
  <c r="J71" i="5"/>
  <c r="J98" i="5"/>
  <c r="J11" i="5"/>
  <c r="J101" i="5"/>
  <c r="J33" i="5"/>
  <c r="J72" i="5"/>
  <c r="J35" i="5"/>
  <c r="J88" i="5"/>
  <c r="J32" i="5"/>
  <c r="J89" i="5"/>
  <c r="J74" i="5"/>
  <c r="J37" i="5"/>
  <c r="J79" i="5"/>
  <c r="J17" i="5"/>
  <c r="J18" i="5"/>
  <c r="J99" i="5"/>
  <c r="J87" i="5"/>
  <c r="J95" i="5"/>
  <c r="J49" i="5"/>
  <c r="J59" i="5"/>
  <c r="J26" i="5"/>
  <c r="J63" i="5"/>
  <c r="J90" i="5"/>
  <c r="J64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39" i="5"/>
  <c r="G30" i="5"/>
  <c r="G49" i="5"/>
  <c r="G60" i="5"/>
  <c r="G97" i="5"/>
  <c r="G77" i="5"/>
  <c r="G8" i="5"/>
  <c r="G4" i="5"/>
  <c r="G53" i="5"/>
  <c r="G7" i="5"/>
  <c r="G78" i="5"/>
  <c r="G23" i="5"/>
  <c r="G93" i="5"/>
  <c r="G33" i="5"/>
  <c r="G91" i="5"/>
  <c r="G46" i="5"/>
  <c r="G75" i="5"/>
  <c r="G86" i="5"/>
  <c r="G69" i="5"/>
  <c r="G13" i="5"/>
  <c r="G71" i="5"/>
  <c r="G18" i="5"/>
  <c r="G24" i="5"/>
  <c r="G9" i="5"/>
  <c r="G52" i="5"/>
  <c r="G63" i="5"/>
  <c r="G73" i="5"/>
  <c r="G66" i="5"/>
  <c r="G101" i="5"/>
  <c r="G61" i="5"/>
  <c r="G10" i="5"/>
  <c r="G6" i="5"/>
  <c r="G81" i="5"/>
  <c r="G54" i="5"/>
  <c r="G67" i="5"/>
  <c r="G57" i="5"/>
  <c r="G27" i="5"/>
  <c r="G5" i="5"/>
  <c r="G43" i="5"/>
  <c r="G56" i="5"/>
  <c r="G59" i="5"/>
  <c r="G28" i="5"/>
  <c r="G92" i="5"/>
  <c r="G70" i="5"/>
  <c r="G36" i="5"/>
  <c r="G12" i="5"/>
  <c r="G40" i="5"/>
  <c r="G89" i="5"/>
  <c r="G58" i="5"/>
  <c r="G90" i="5"/>
  <c r="G62" i="5"/>
  <c r="G64" i="5"/>
  <c r="G11" i="5"/>
  <c r="G48" i="5"/>
  <c r="G45" i="5"/>
  <c r="G88" i="5"/>
  <c r="G25" i="5"/>
  <c r="G29" i="5"/>
  <c r="G68" i="5"/>
  <c r="G65" i="5"/>
  <c r="G87" i="5"/>
  <c r="G79" i="5"/>
  <c r="G51" i="5"/>
  <c r="G83" i="5"/>
  <c r="G17" i="5"/>
  <c r="G16" i="5"/>
  <c r="G76" i="5"/>
  <c r="G35" i="5"/>
  <c r="G94" i="5"/>
  <c r="G99" i="5"/>
  <c r="G84" i="5"/>
  <c r="G82" i="5"/>
  <c r="G3" i="5"/>
  <c r="G42" i="5"/>
  <c r="G96" i="5"/>
  <c r="Z194" i="4" l="1" a="1"/>
  <c r="Y196" i="1" s="1" a="1"/>
  <c r="U195" i="4" a="1"/>
  <c r="T197" i="1" s="1" a="1"/>
  <c r="I200" i="1" a="1"/>
  <c r="H200" i="1" a="1"/>
  <c r="F125" i="4" a="1"/>
  <c r="E127" i="1" s="1" a="1"/>
  <c r="G21" i="5"/>
  <c r="G74" i="5"/>
  <c r="G100" i="5"/>
  <c r="G15" i="5"/>
  <c r="G31" i="5"/>
  <c r="G37" i="5"/>
  <c r="G32" i="5"/>
  <c r="G55" i="5"/>
  <c r="G38" i="5"/>
  <c r="G20" i="5"/>
  <c r="G26" i="5"/>
  <c r="G34" i="5"/>
  <c r="G80" i="5"/>
  <c r="G19" i="5"/>
  <c r="G50" i="5"/>
  <c r="G22" i="5"/>
  <c r="G72" i="5"/>
  <c r="G41" i="5"/>
  <c r="G2" i="5"/>
  <c r="G44" i="5"/>
  <c r="G98" i="5"/>
  <c r="G95" i="5"/>
  <c r="G85" i="5"/>
  <c r="G14" i="5"/>
  <c r="G47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50" i="5"/>
  <c r="F97" i="5"/>
  <c r="F66" i="5"/>
  <c r="F87" i="5"/>
  <c r="F9" i="5"/>
  <c r="F44" i="5"/>
  <c r="F88" i="5"/>
  <c r="F81" i="5"/>
  <c r="F68" i="5"/>
  <c r="F60" i="5"/>
  <c r="F96" i="5"/>
  <c r="F31" i="5"/>
  <c r="F6" i="5"/>
  <c r="F57" i="5"/>
  <c r="F52" i="5"/>
  <c r="F28" i="5"/>
  <c r="F64" i="5"/>
  <c r="F14" i="5"/>
  <c r="F92" i="5"/>
  <c r="F54" i="5"/>
  <c r="F67" i="5"/>
  <c r="F12" i="5"/>
  <c r="F27" i="5"/>
  <c r="F22" i="5"/>
  <c r="F63" i="5"/>
  <c r="F43" i="5"/>
  <c r="F25" i="5"/>
  <c r="F86" i="5"/>
  <c r="F47" i="5"/>
  <c r="F77" i="5"/>
  <c r="F98" i="5"/>
  <c r="F32" i="5"/>
  <c r="F21" i="5"/>
  <c r="F45" i="5"/>
  <c r="F30" i="5"/>
  <c r="F95" i="5"/>
  <c r="F11" i="5"/>
  <c r="F13" i="5"/>
  <c r="F56" i="5"/>
  <c r="F8" i="5"/>
  <c r="F15" i="5"/>
  <c r="F70" i="5"/>
  <c r="F69" i="5"/>
  <c r="F24" i="5"/>
  <c r="F90" i="5"/>
  <c r="F34" i="5"/>
  <c r="F33" i="5"/>
  <c r="F49" i="5"/>
  <c r="F94" i="5"/>
  <c r="F65" i="5"/>
  <c r="F85" i="5"/>
  <c r="F16" i="5"/>
  <c r="F3" i="5"/>
  <c r="F51" i="5"/>
  <c r="F53" i="5"/>
  <c r="F48" i="5"/>
  <c r="F78" i="5"/>
  <c r="F26" i="5"/>
  <c r="F18" i="5"/>
  <c r="F59" i="5"/>
  <c r="F84" i="5"/>
  <c r="F40" i="5"/>
  <c r="F7" i="5"/>
  <c r="F91" i="5"/>
  <c r="F36" i="5"/>
  <c r="F83" i="5"/>
  <c r="F89" i="5"/>
  <c r="F101" i="5"/>
  <c r="F55" i="5"/>
  <c r="F29" i="5"/>
  <c r="F38" i="5"/>
  <c r="F76" i="5"/>
  <c r="F80" i="5"/>
  <c r="F41" i="5"/>
  <c r="F23" i="5"/>
  <c r="F37" i="5"/>
  <c r="F58" i="5"/>
  <c r="F20" i="5"/>
  <c r="F35" i="5"/>
  <c r="F2" i="5"/>
  <c r="F61" i="5"/>
  <c r="F42" i="5"/>
  <c r="F82" i="5"/>
  <c r="F100" i="5"/>
  <c r="F72" i="5"/>
  <c r="F46" i="5"/>
  <c r="F39" i="5"/>
  <c r="F99" i="5"/>
  <c r="F10" i="5"/>
  <c r="F75" i="5"/>
  <c r="F73" i="5"/>
  <c r="F79" i="5"/>
  <c r="F4" i="5"/>
  <c r="F93" i="5"/>
  <c r="F71" i="5"/>
  <c r="F19" i="5"/>
  <c r="F5" i="5"/>
  <c r="F74" i="5"/>
  <c r="F62" i="5"/>
  <c r="F17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36" i="5"/>
  <c r="H63" i="5"/>
  <c r="H56" i="5"/>
  <c r="H19" i="5"/>
  <c r="H45" i="5"/>
  <c r="H13" i="5"/>
  <c r="H88" i="5"/>
  <c r="H28" i="5"/>
  <c r="H54" i="5"/>
  <c r="H43" i="5"/>
  <c r="H22" i="5"/>
  <c r="H69" i="5"/>
  <c r="H17" i="5"/>
  <c r="H16" i="5"/>
  <c r="H37" i="5"/>
  <c r="H5" i="5"/>
  <c r="H18" i="5"/>
  <c r="H35" i="5"/>
  <c r="H15" i="5"/>
  <c r="H71" i="5"/>
  <c r="H26" i="5"/>
  <c r="H41" i="5"/>
  <c r="H72" i="5"/>
  <c r="H83" i="5"/>
  <c r="H67" i="5"/>
  <c r="H59" i="5"/>
  <c r="H84" i="5"/>
  <c r="H79" i="5"/>
  <c r="H80" i="5"/>
  <c r="H58" i="5"/>
  <c r="H21" i="5"/>
  <c r="H8" i="5"/>
  <c r="H27" i="5"/>
  <c r="H76" i="5"/>
  <c r="H60" i="5"/>
  <c r="H86" i="5"/>
  <c r="H48" i="5"/>
  <c r="H97" i="5"/>
  <c r="H38" i="5"/>
  <c r="H66" i="5"/>
  <c r="H57" i="5"/>
  <c r="H85" i="5"/>
  <c r="H4" i="5"/>
  <c r="H24" i="5"/>
  <c r="H31" i="5"/>
  <c r="H39" i="5"/>
  <c r="H20" i="5"/>
  <c r="H2" i="5"/>
  <c r="H49" i="5"/>
  <c r="H78" i="5"/>
  <c r="H23" i="5"/>
  <c r="H7" i="5"/>
  <c r="H61" i="5"/>
  <c r="H30" i="5"/>
  <c r="H99" i="5"/>
  <c r="H6" i="5"/>
  <c r="H75" i="5"/>
  <c r="H74" i="5"/>
  <c r="H11" i="5"/>
  <c r="H100" i="5"/>
  <c r="H91" i="5"/>
  <c r="H101" i="5"/>
  <c r="H90" i="5"/>
  <c r="H40" i="5"/>
  <c r="H93" i="5"/>
  <c r="H82" i="5"/>
  <c r="H46" i="5"/>
  <c r="H29" i="5"/>
  <c r="H87" i="5"/>
  <c r="H34" i="5"/>
  <c r="H98" i="5"/>
  <c r="H47" i="5"/>
  <c r="H73" i="5"/>
  <c r="H95" i="5"/>
  <c r="H81" i="5"/>
  <c r="H53" i="5"/>
  <c r="H51" i="5"/>
  <c r="H3" i="5"/>
  <c r="H50" i="5"/>
  <c r="H89" i="5"/>
  <c r="H77" i="5"/>
  <c r="H9" i="5"/>
  <c r="H55" i="5"/>
  <c r="H64" i="5"/>
  <c r="H12" i="5"/>
  <c r="H33" i="5"/>
  <c r="H32" i="5"/>
  <c r="H70" i="5"/>
  <c r="H44" i="5"/>
  <c r="H52" i="5"/>
  <c r="H42" i="5"/>
  <c r="H68" i="5"/>
  <c r="H25" i="5"/>
  <c r="H92" i="5"/>
  <c r="H10" i="5"/>
  <c r="H14" i="5"/>
  <c r="H96" i="5"/>
  <c r="H94" i="5"/>
  <c r="H65" i="5"/>
  <c r="H62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73" i="5"/>
  <c r="I66" i="5"/>
  <c r="I86" i="5"/>
  <c r="I37" i="5"/>
  <c r="I67" i="5"/>
  <c r="I71" i="5"/>
  <c r="I17" i="5"/>
  <c r="I27" i="5"/>
  <c r="I20" i="5"/>
  <c r="I81" i="5"/>
  <c r="I29" i="5"/>
  <c r="I72" i="5"/>
  <c r="I13" i="5"/>
  <c r="I94" i="5"/>
  <c r="I28" i="5"/>
  <c r="I58" i="5"/>
  <c r="I40" i="5"/>
  <c r="I23" i="5"/>
  <c r="I52" i="5"/>
  <c r="I7" i="5"/>
  <c r="I70" i="5"/>
  <c r="I32" i="5"/>
  <c r="I12" i="5"/>
  <c r="I84" i="5"/>
  <c r="I33" i="5"/>
  <c r="I87" i="5"/>
  <c r="I42" i="5"/>
  <c r="I95" i="5"/>
  <c r="I5" i="5"/>
  <c r="I97" i="5"/>
  <c r="I47" i="5"/>
  <c r="I45" i="5"/>
  <c r="I98" i="5"/>
  <c r="I25" i="5"/>
  <c r="I101" i="5"/>
  <c r="I59" i="5"/>
  <c r="I11" i="5"/>
  <c r="I53" i="5"/>
  <c r="I6" i="5"/>
  <c r="I41" i="5"/>
  <c r="I85" i="5"/>
  <c r="I63" i="5"/>
  <c r="I91" i="5"/>
  <c r="I79" i="5"/>
  <c r="I77" i="5"/>
  <c r="I31" i="5"/>
  <c r="I3" i="5"/>
  <c r="I18" i="5"/>
  <c r="I80" i="5"/>
  <c r="I69" i="5"/>
  <c r="I14" i="5"/>
  <c r="I76" i="5"/>
  <c r="I43" i="5"/>
  <c r="I56" i="5"/>
  <c r="I39" i="5"/>
  <c r="I61" i="5"/>
  <c r="I100" i="5"/>
  <c r="I96" i="5"/>
  <c r="I90" i="5"/>
  <c r="I26" i="5"/>
  <c r="I51" i="5"/>
  <c r="I8" i="5"/>
  <c r="I83" i="5"/>
  <c r="I50" i="5"/>
  <c r="I4" i="5"/>
  <c r="I89" i="5"/>
  <c r="I21" i="5"/>
  <c r="I57" i="5"/>
  <c r="I75" i="5"/>
  <c r="I99" i="5"/>
  <c r="I78" i="5"/>
  <c r="I68" i="5"/>
  <c r="I19" i="5"/>
  <c r="I46" i="5"/>
  <c r="I15" i="5"/>
  <c r="I65" i="5"/>
  <c r="I88" i="5"/>
  <c r="I30" i="5"/>
  <c r="I74" i="5"/>
  <c r="I35" i="5"/>
  <c r="I62" i="5"/>
  <c r="I16" i="5"/>
  <c r="I54" i="5"/>
  <c r="I64" i="5"/>
  <c r="I10" i="5"/>
  <c r="I55" i="5"/>
  <c r="I48" i="5"/>
  <c r="I60" i="5"/>
  <c r="I44" i="5"/>
  <c r="I82" i="5"/>
  <c r="I93" i="5"/>
  <c r="I38" i="5"/>
  <c r="I2" i="5"/>
  <c r="I22" i="5"/>
  <c r="I92" i="5"/>
  <c r="I49" i="5"/>
  <c r="I24" i="5"/>
  <c r="I36" i="5"/>
  <c r="I34" i="5"/>
  <c r="I9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8" i="5"/>
  <c r="E59" i="5"/>
  <c r="E99" i="5"/>
  <c r="E52" i="5"/>
  <c r="E4" i="5"/>
  <c r="E6" i="5"/>
  <c r="E98" i="5"/>
  <c r="E82" i="5"/>
  <c r="E74" i="5"/>
  <c r="E2" i="5"/>
  <c r="E69" i="5"/>
  <c r="E64" i="5"/>
  <c r="E68" i="5"/>
  <c r="E70" i="5"/>
  <c r="E81" i="5"/>
  <c r="E62" i="5"/>
  <c r="E94" i="5"/>
  <c r="E86" i="5"/>
  <c r="E47" i="5"/>
  <c r="E42" i="5"/>
  <c r="E48" i="5"/>
  <c r="E31" i="5"/>
  <c r="E76" i="5"/>
  <c r="E56" i="5"/>
  <c r="E92" i="5"/>
  <c r="E53" i="5"/>
  <c r="E38" i="5"/>
  <c r="E77" i="5"/>
  <c r="E67" i="5"/>
  <c r="E91" i="5"/>
  <c r="E40" i="5"/>
  <c r="E97" i="5"/>
  <c r="E95" i="5"/>
  <c r="E87" i="5"/>
  <c r="E30" i="5"/>
  <c r="E15" i="5"/>
  <c r="E46" i="5"/>
  <c r="E49" i="5"/>
  <c r="E43" i="5"/>
  <c r="E84" i="5"/>
  <c r="E66" i="5"/>
  <c r="E39" i="5"/>
  <c r="E24" i="5"/>
  <c r="E11" i="5"/>
  <c r="E88" i="5"/>
  <c r="E29" i="5"/>
  <c r="E19" i="5"/>
  <c r="E32" i="5"/>
  <c r="E36" i="5"/>
  <c r="E37" i="5"/>
  <c r="E23" i="5"/>
  <c r="E16" i="5"/>
  <c r="E51" i="5"/>
  <c r="E100" i="5"/>
  <c r="E25" i="5"/>
  <c r="E41" i="5"/>
  <c r="E61" i="5"/>
  <c r="E101" i="5"/>
  <c r="E55" i="5"/>
  <c r="E10" i="5"/>
  <c r="E12" i="5"/>
  <c r="E54" i="5"/>
  <c r="E17" i="5"/>
  <c r="E78" i="5"/>
  <c r="E93" i="5"/>
  <c r="E9" i="5"/>
  <c r="E83" i="5"/>
  <c r="E5" i="5"/>
  <c r="E18" i="5"/>
  <c r="E45" i="5"/>
  <c r="E85" i="5"/>
  <c r="E14" i="5"/>
  <c r="E75" i="5"/>
  <c r="E22" i="5"/>
  <c r="E73" i="5"/>
  <c r="E13" i="5"/>
  <c r="E72" i="5"/>
  <c r="E44" i="5"/>
  <c r="E3" i="5"/>
  <c r="E63" i="5"/>
  <c r="E80" i="5"/>
  <c r="E34" i="5"/>
  <c r="E71" i="5"/>
  <c r="E89" i="5"/>
  <c r="E28" i="5"/>
  <c r="E50" i="5"/>
  <c r="E65" i="5"/>
  <c r="E26" i="5"/>
  <c r="E27" i="5"/>
  <c r="E7" i="5"/>
  <c r="E60" i="5"/>
  <c r="E57" i="5"/>
  <c r="E58" i="5"/>
  <c r="E35" i="5"/>
  <c r="E90" i="5"/>
  <c r="E33" i="5"/>
  <c r="E96" i="5"/>
  <c r="E20" i="5"/>
  <c r="E21" i="5"/>
  <c r="E79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<sst xmlns="http://schemas.openxmlformats.org/spreadsheetml/2006/main" count="396" uniqueCount="267">
  <si>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</si>
  <si>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</si>
  <si>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</si>
  <si>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</si>
  <si>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</si>
  <si>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</si>
  <si>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</si>
  <si>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</si>
  <si>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</si>
  <si>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</si>
  <si>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</si>
  <si>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</si>
  <si>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</si>
  <si>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</si>
  <si>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</si>
  <si>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</si>
  <si>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</si>
  <si>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</si>
  <si>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</si>
  <si>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</si>
  <si>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</si>
  <si>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</si>
  <si>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</si>
  <si>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</si>
  <si>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</si>
  <si>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</si>
  <si>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</si>
  <si>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</si>
  <si>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</si>
  <si>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</si>
  <si>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</si>
  <si>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</si>
  <si>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</si>
  <si>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</si>
  <si>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</si>
  <si>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</si>
  <si>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</si>
  <si>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</si>
  <si>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</si>
  <si>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</si>
  <si>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</si>
  <si>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</si>
  <si>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</si>
  <si>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</si>
  <si>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</si>
  <si>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</si>
  <si>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</si>
  <si>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</si>
  <si>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</si>
  <si>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</si>
  <si>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</si>
  <si>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</si>
  <si>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</si>
  <si>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</si>
  <si>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</si>
  <si>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</si>
  <si>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</si>
  <si>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</si>
  <si>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</si>
  <si>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</si>
  <si>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</si>
  <si>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</si>
  <si>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</si>
  <si>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</si>
  <si>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</si>
  <si>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</si>
  <si>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</si>
  <si>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</si>
  <si>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</si>
  <si>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</si>
  <si>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</si>
  <si>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</si>
  <si>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</si>
  <si>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</si>
  <si>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</si>
  <si>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</si>
  <si>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</si>
  <si>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</si>
  <si>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</si>
  <si>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</si>
  <si>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</si>
  <si>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</si>
  <si>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</si>
  <si>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</si>
  <si>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</si>
  <si>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</si>
  <si>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</si>
  <si>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</si>
  <si>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</si>
  <si>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</si>
  <si>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</si>
  <si>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</si>
  <si>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</si>
  <si>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</si>
  <si>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</si>
  <si>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</si>
  <si>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</si>
  <si>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</si>
  <si>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</si>
  <si>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</si>
  <si>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</si>
  <si>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</si>
  <si>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</si>
  <si>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</si>
  <si>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</si>
  <si>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</si>
  <si>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</si>
  <si>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</si>
  <si>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</si>
  <si>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</si>
  <si>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</si>
  <si>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</si>
  <si>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</si>
  <si>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</si>
  <si>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</si>
  <si>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</si>
  <si>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</si>
  <si>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</si>
  <si>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</si>
  <si>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</si>
  <si>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</si>
  <si>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</si>
  <si>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</si>
  <si>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</si>
  <si>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</si>
  <si>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</si>
  <si>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</si>
  <si>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</si>
  <si>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</si>
  <si>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</si>
  <si>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</si>
  <si>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</si>
  <si>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</si>
  <si>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</si>
  <si>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</si>
  <si>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</si>
  <si>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</si>
  <si>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</si>
  <si>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</si>
  <si>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</si>
  <si>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</si>
  <si>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</si>
  <si>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</si>
  <si>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</si>
  <si>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</si>
  <si>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</si>
  <si>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</si>
  <si>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</si>
  <si>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</si>
  <si>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</si>
  <si>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</si>
  <si>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</si>
  <si>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</si>
  <si>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</si>
  <si>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</si>
  <si>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</si>
  <si>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</si>
  <si>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</si>
  <si>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</si>
  <si>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</si>
  <si>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</si>
  <si>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</si>
  <si>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</si>
  <si>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</si>
  <si>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</si>
  <si>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</si>
  <si>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</si>
  <si>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</si>
  <si>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</si>
  <si>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</si>
  <si>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</si>
  <si>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</si>
  <si>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</si>
  <si>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</si>
  <si>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</si>
  <si>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</si>
  <si>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</si>
  <si>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</si>
  <si>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</si>
  <si>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</si>
  <si>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</si>
  <si>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</si>
  <si>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</si>
  <si>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</si>
  <si>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</si>
  <si>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</si>
  <si>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</si>
  <si>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</si>
  <si>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</si>
  <si>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</si>
  <si>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</si>
  <si>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</si>
  <si>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</si>
  <si>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</si>
  <si>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</si>
  <si>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</si>
  <si>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</si>
  <si>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</si>
  <si>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</si>
  <si>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</si>
  <si>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</si>
  <si>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</si>
  <si>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</si>
  <si>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</si>
  <si>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</si>
  <si>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</si>
  <si>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</si>
  <si>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</si>
  <si>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</si>
  <si>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</si>
  <si>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</si>
  <si>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</si>
  <si>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</si>
  <si>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</si>
  <si>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</si>
  <si>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</si>
  <si>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</si>
  <si>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</si>
  <si>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</si>
  <si>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</si>
  <si>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</si>
  <si>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</si>
  <si>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</si>
  <si>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</si>
  <si>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</si>
  <si>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</si>
  <si>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</si>
  <si>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</si>
  <si>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Jerson llumiquinga</t>
  </si>
  <si>
    <t>Alejandro Montufar</t>
  </si>
  <si>
    <t>Ariel Morillo</t>
  </si>
  <si>
    <t xml:space="preserve">
[REQ-01.1] CU-01.1: Iniciar sesión</t>
  </si>
  <si>
    <t>[REQ-01.2] CU-01.2: Recuperar contraseña</t>
  </si>
  <si>
    <t>[REQ-02.1] CU-02.1: Actualizar datos</t>
  </si>
  <si>
    <t>[REQ-02.2] CU-02.2: Modificar contraseña</t>
  </si>
  <si>
    <t>[REQ-02.3] CU-02.3: Modificar preferencias</t>
  </si>
  <si>
    <t>[REQ-03.1] CU-03.1: Crear Agricultor</t>
  </si>
  <si>
    <t>[REQ-03.2] CU-03.2: Consultar Agricultor</t>
  </si>
  <si>
    <t>[REQ-03.3] CU-03.3: Editar Agricultor</t>
  </si>
  <si>
    <t>[REQ-03.4] CU-03.4: Desactivar Agricultor</t>
  </si>
  <si>
    <t>[REQ-04.1.1] CU-04.1.1: Registrar campañas</t>
  </si>
  <si>
    <t>[REQ-04.1.2] CU-04.1.2: Consultar campañas</t>
  </si>
  <si>
    <t>[REQ-04.1.3] CU-04.1.3: Editar campañas</t>
  </si>
  <si>
    <t>[REQ-04.1.4] CU-04.1.4: Cerrar campañas</t>
  </si>
  <si>
    <t>[REQ-04.2.1] CU-04.2.1: Registrar Lote</t>
  </si>
  <si>
    <t>[REQ-04.2.2] CU-04.2.2: Consultar Lote</t>
  </si>
  <si>
    <t>[REQ-04.2.3] CU-04.2.3: Editar Lote</t>
  </si>
  <si>
    <t>[REQ-04.2.4] CU-04.2.4: Eliminar Lote</t>
  </si>
  <si>
    <t>[REQ-04.3.1] CU-04.3.1: Registrar Comprador</t>
  </si>
  <si>
    <t>[REQ-04.3.2] CU-04.3.2:Consultar Comprador</t>
  </si>
  <si>
    <t>[REQ-04.3.3] CU-04.3.3: Editar Comprador</t>
  </si>
  <si>
    <t>[REQ-04.3.4] CU-04.3.4: Eliminar Comprador</t>
  </si>
  <si>
    <t>[REQ-05.1] CU-05.1: Registrar pesaje bruto</t>
  </si>
  <si>
    <t>[REQ-05.2] CU-05.2: Registrar clasificación poscosecha</t>
  </si>
  <si>
    <t>[REQ-05.3] CU-05.3: Registrar ajuste de comprador</t>
  </si>
  <si>
    <t>[REQ-05.4] CU-05.4:  Sincronizar datos offline</t>
  </si>
  <si>
    <t>TAREA10</t>
  </si>
  <si>
    <t>TAREA11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</si>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</sst>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0" activePane="bottomLeft" state="frozen"/>
      <selection pane="bottomLeft" activeCell="D82" sqref="D82:E82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(6 de 26)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(8 de 26)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(3 de 26)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(9 de 26)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26)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26)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26)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26)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26)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26)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25: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TAREA20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07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17:</v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TAREA12</v>
      </c>
      <c r="O6" s="107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9: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TAREA5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[REQ-05.4] CU-05.4:  Sincronizar datos offline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[REQ-04.2.4] CU-04.2.4: Eliminar Lote</v>
      </c>
      <c r="O7" s="107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[REQ-03.4] CU-03.4: Desactivar Agricultor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46219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07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46204</v>
      </c>
      <c r="O8" s="107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46197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46224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07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46216</v>
      </c>
      <c r="O9" s="107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46209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46225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07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46217</v>
      </c>
      <c r="O10" s="107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46210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7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14 días</v>
      </c>
      <c r="O11" s="107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14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1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1 días</v>
      </c>
      <c r="O12" s="107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Alejandro Montufar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Alejandro Montufar</v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Alejandro Montufar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24: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TAREA19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22: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TAREA17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13:</v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TAREA8</v>
      </c>
      <c r="O15" s="107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TAREA4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[REQ-05.3] CU-05.3: Registrar ajuste de comprador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[REQ-05.1] CU-05.1: Registrar pesaje bruto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[REQ-04.1.4] CU-04.1.4: Cerrar campañas</v>
      </c>
      <c r="O16" s="107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[REQ-03.3] CU-03.3: Editar Agricultor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46219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46219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07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46204</v>
      </c>
      <c r="O17" s="107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46197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46224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46224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07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46216</v>
      </c>
      <c r="O18" s="107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46209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46225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46225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07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46217</v>
      </c>
      <c r="O19" s="107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46210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7 días</v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7 días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>14 días</v>
      </c>
      <c r="O20" s="107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14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1 días</v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1 días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>1 días</v>
      </c>
      <c r="O21" s="107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Alejandro Montufar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Alejandro Montufar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Ariel Morillo</v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Alejandro Montufar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e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>#VALUE!</v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23: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TAREA18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18:</v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TAREA13</v>
      </c>
      <c r="J24" s="107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>Tarea 12:</v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>TAREA7</v>
      </c>
      <c r="O24" s="107" t="e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>#VALUE!</v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TAREA4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[REQ-05.2] CU-05.2: Registrar clasificación poscosecha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[REQ-04.3.1] CU-04.3.1: Registrar Comprador</v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>Descripción:</v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>[REQ-04.1.3] CU-04.1.3: Editar campañas</v>
      </c>
      <c r="O25" s="107" t="e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>#VALUE!</v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[REQ-03.2] CU-03.2: Consultar Agricultor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46219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46204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>Inicio:</v>
      </c>
      <c r="N26" s="107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>46204</v>
      </c>
      <c r="O26" s="107" t="e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>#VALUE!</v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46197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46224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7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46216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>Previsto:</v>
      </c>
      <c r="N27" s="107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>46216</v>
      </c>
      <c r="O27" s="107" t="e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>#VALUE!</v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46208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46225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7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46217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>Final:</v>
      </c>
      <c r="N28" s="107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>46217</v>
      </c>
      <c r="O28" s="107" t="e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>#VALUE!</v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46209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7 días</v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14 días</v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>Duración:</v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>14 días</v>
      </c>
      <c r="O29" s="107" t="e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>#VALUE!</v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1 días</v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1 días</v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>Retraso:</v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>1 días</v>
      </c>
      <c r="O30" s="107" t="e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>#VALUE!</v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Alejandro Montufar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Jerson llumiquinga</v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>Asignado:</v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>Ariel Morillo</v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Alejandro Montufar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21:</v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TAREA16</v>
      </c>
      <c r="E33" s="107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16:</v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TAREA11</v>
      </c>
      <c r="J33" s="107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TAREA5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[REQ-04.3.4] CU-04.3.4: Eliminar Comprador</v>
      </c>
      <c r="E34" s="107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[REQ-04.2.3] CU-04.2.3: Editar Lote</v>
      </c>
      <c r="J34" s="107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[REQ-03.1] CU-03.1: Crear Agricultor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7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46204</v>
      </c>
      <c r="E35" s="107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7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46204</v>
      </c>
      <c r="J35" s="107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46197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7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46216</v>
      </c>
      <c r="E36" s="107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7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46216</v>
      </c>
      <c r="J36" s="107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46208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7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46217</v>
      </c>
      <c r="E37" s="107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7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46217</v>
      </c>
      <c r="J37" s="107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46209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14 días</v>
      </c>
      <c r="E38" s="107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14 días</v>
      </c>
      <c r="J38" s="107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1 días</v>
      </c>
      <c r="E39" s="107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1 días</v>
      </c>
      <c r="J39" s="107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Jerson llumiquinga</v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Alejandro Montufar</v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Ariel Morillo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20:</v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TAREA15</v>
      </c>
      <c r="E42" s="107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15:</v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TAREA10</v>
      </c>
      <c r="J42" s="107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TAREA4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[REQ-04.3.3] CU-04.3.3: Editar Comprador</v>
      </c>
      <c r="E43" s="107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[REQ-04.2.2] CU-04.2.2: Consultar Lote</v>
      </c>
      <c r="J43" s="107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[REQ-02.3] CU-02.3: Modificar preferencias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7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46204</v>
      </c>
      <c r="E44" s="107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07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46204</v>
      </c>
      <c r="J44" s="107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46193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7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46216</v>
      </c>
      <c r="E45" s="107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07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46216</v>
      </c>
      <c r="J45" s="107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46196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7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46217</v>
      </c>
      <c r="E46" s="107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07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46217</v>
      </c>
      <c r="J46" s="107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46197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14 días</v>
      </c>
      <c r="E47" s="107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14 días</v>
      </c>
      <c r="J47" s="107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1 días</v>
      </c>
      <c r="E48" s="107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1 días</v>
      </c>
      <c r="J48" s="107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Jerson llumiquinga</v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Alejandro Montufar</v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Ariel Morillo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19:</v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TAREA14</v>
      </c>
      <c r="E51" s="107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14:</v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TAREA9</v>
      </c>
      <c r="J51" s="107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TAREA4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[REQ-04.3.2] CU-04.3.2:Consultar Comprador</v>
      </c>
      <c r="E52" s="107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[REQ-04.2.1] CU-04.2.1: Registrar Lote</v>
      </c>
      <c r="J52" s="107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[REQ-02.2] CU-02.2: Modificar contraseña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7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46204</v>
      </c>
      <c r="E53" s="107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07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46204</v>
      </c>
      <c r="J53" s="107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46193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7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46216</v>
      </c>
      <c r="E54" s="107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07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46216</v>
      </c>
      <c r="J54" s="107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46195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7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46217</v>
      </c>
      <c r="E55" s="107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07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46217</v>
      </c>
      <c r="J55" s="107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46196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14 días</v>
      </c>
      <c r="E56" s="107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14 días</v>
      </c>
      <c r="J56" s="107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1 días</v>
      </c>
      <c r="E57" s="107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1 días</v>
      </c>
      <c r="J57" s="107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Jerson llumiquinga</v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Alejandro Montufar</v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Alejandro Montufar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11:</v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TAREA4</v>
      </c>
      <c r="J60" s="107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TAREA3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[REQ-04.1.2] CU-04.1.2: Consultar campañas</v>
      </c>
      <c r="J61" s="107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[REQ-02.1] CU-02.1: Actualizar datos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07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46204</v>
      </c>
      <c r="J62" s="107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46190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07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46216</v>
      </c>
      <c r="J63" s="107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46195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07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46217</v>
      </c>
      <c r="J64" s="107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46196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14 días</v>
      </c>
      <c r="J65" s="107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7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1 días</v>
      </c>
      <c r="J66" s="107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Ariel Morillo</v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Alejandro Montufar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10:</v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TAREA6</v>
      </c>
      <c r="J69" s="107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TAREA2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[REQ-04.1.1] CU-04.1.1: Registrar campañas</v>
      </c>
      <c r="J70" s="107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[REQ-01.2] CU-01.2: Recuperar contraseña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07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46204</v>
      </c>
      <c r="J71" s="107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46187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07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46216</v>
      </c>
      <c r="J72" s="107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46194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07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46217</v>
      </c>
      <c r="J73" s="107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46195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14 días</v>
      </c>
      <c r="J74" s="107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9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1 días</v>
      </c>
      <c r="J75" s="107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Ariel Morillo</v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Alejandro Montufar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TAREA1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
[REQ-01.1] CU-01.1: Iniciar sesión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46187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46194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46195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Jerson llumiquinga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5" activePane="bottomLeft" state="frozen"/>
      <selection pane="bottomLeft" activeCell="A26" sqref="A26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219</v>
      </c>
      <c r="D2" s="102" t="s">
        <v>231</v>
      </c>
      <c r="E2" s="103">
        <v>46187</v>
      </c>
      <c r="F2" s="93">
        <v>46194</v>
      </c>
      <c r="G2" s="93">
        <v>46195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228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5</v>
      </c>
      <c r="C3" s="95" t="s">
        <v>220</v>
      </c>
      <c r="D3" s="104" t="s">
        <v>232</v>
      </c>
      <c r="E3" s="105">
        <v>46187</v>
      </c>
      <c r="F3" s="96">
        <v>46194</v>
      </c>
      <c r="G3" s="96">
        <v>46195</v>
      </c>
      <c r="H3" s="45" t="str">
        <f>IF(Datos!$G3&gt;0,Datos!$G3-Datos!$E3+1 &amp; " " &amp; Idiomas!$A$29,"")</f>
        <v>9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229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8</v>
      </c>
      <c r="B4" s="92" t="s">
        <v>5</v>
      </c>
      <c r="C4" s="92" t="s">
        <v>221</v>
      </c>
      <c r="D4" s="92" t="s">
        <v>233</v>
      </c>
      <c r="E4" s="103">
        <v>46190</v>
      </c>
      <c r="F4" s="93">
        <v>46195</v>
      </c>
      <c r="G4" s="93">
        <v>46196</v>
      </c>
      <c r="H4" s="43" t="str">
        <f>IF(Datos!$G4&gt;0,Datos!$G4-Datos!$E4+1 &amp; " " &amp; Idiomas!$A$29,"")</f>
        <v>7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229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8</v>
      </c>
      <c r="B5" s="95" t="s">
        <v>5</v>
      </c>
      <c r="C5" s="95" t="s">
        <v>222</v>
      </c>
      <c r="D5" s="95" t="s">
        <v>234</v>
      </c>
      <c r="E5" s="96">
        <v>46193</v>
      </c>
      <c r="F5" s="96">
        <v>46195</v>
      </c>
      <c r="G5" s="96">
        <v>46196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8</v>
      </c>
      <c r="B6" s="92" t="s">
        <v>5</v>
      </c>
      <c r="C6" s="92" t="s">
        <v>222</v>
      </c>
      <c r="D6" s="92" t="s">
        <v>235</v>
      </c>
      <c r="E6" s="93">
        <v>46193</v>
      </c>
      <c r="F6" s="93">
        <v>46196</v>
      </c>
      <c r="G6" s="93">
        <v>46197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230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8</v>
      </c>
      <c r="B7" s="95" t="s">
        <v>3</v>
      </c>
      <c r="C7" s="95" t="s">
        <v>223</v>
      </c>
      <c r="D7" s="95" t="s">
        <v>236</v>
      </c>
      <c r="E7" s="96">
        <v>46197</v>
      </c>
      <c r="F7" s="96">
        <v>46208</v>
      </c>
      <c r="G7" s="96">
        <v>46209</v>
      </c>
      <c r="H7" s="45" t="str">
        <f>IF(Datos!$G7&gt;0,Datos!$G7-Datos!$E7+1 &amp; " " &amp; Idiomas!$A$29,"")</f>
        <v>13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8</v>
      </c>
      <c r="B8" s="92" t="s">
        <v>3</v>
      </c>
      <c r="C8" s="92" t="s">
        <v>222</v>
      </c>
      <c r="D8" s="92" t="s">
        <v>237</v>
      </c>
      <c r="E8" s="93">
        <v>46197</v>
      </c>
      <c r="F8" s="93">
        <v>46208</v>
      </c>
      <c r="G8" s="93">
        <v>46209</v>
      </c>
      <c r="H8" s="43" t="str">
        <f>IF(Datos!$G8&gt;0,Datos!$G8-Datos!$E8+1 &amp; " " &amp; Idiomas!$A$29,"")</f>
        <v>13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92" t="s">
        <v>229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8</v>
      </c>
      <c r="B9" s="95" t="s">
        <v>3</v>
      </c>
      <c r="C9" s="95" t="s">
        <v>222</v>
      </c>
      <c r="D9" s="95" t="s">
        <v>238</v>
      </c>
      <c r="E9" s="96">
        <v>46197</v>
      </c>
      <c r="F9" s="96">
        <v>46209</v>
      </c>
      <c r="G9" s="96">
        <v>46210</v>
      </c>
      <c r="H9" s="45" t="str">
        <f>IF(Datos!$G9&gt;0,Datos!$G9-Datos!$E9+1 &amp; " " &amp; Idiomas!$A$29,"")</f>
        <v>14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8</v>
      </c>
      <c r="B10" s="92" t="s">
        <v>3</v>
      </c>
      <c r="C10" s="92" t="s">
        <v>223</v>
      </c>
      <c r="D10" s="92" t="s">
        <v>239</v>
      </c>
      <c r="E10" s="93">
        <v>46197</v>
      </c>
      <c r="F10" s="93">
        <v>46209</v>
      </c>
      <c r="G10" s="93">
        <v>46210</v>
      </c>
      <c r="H10" s="43" t="str">
        <f>IF(Datos!$G10&gt;0,Datos!$G10-Datos!$E10+1 &amp; " " &amp; Idiomas!$A$29,"")</f>
        <v>14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229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12</v>
      </c>
      <c r="B11" s="95" t="s">
        <v>3</v>
      </c>
      <c r="C11" s="95" t="s">
        <v>224</v>
      </c>
      <c r="D11" s="95" t="s">
        <v>240</v>
      </c>
      <c r="E11" s="97">
        <v>46204</v>
      </c>
      <c r="F11" s="96">
        <v>46216</v>
      </c>
      <c r="G11" s="96">
        <v>46217</v>
      </c>
      <c r="H11" s="45" t="str">
        <f>IF(Datos!$G11&gt;0,Datos!$G11-Datos!$E11+1 &amp; " " &amp; Idiomas!$A$29,"")</f>
        <v>14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12</v>
      </c>
      <c r="B12" s="92" t="s">
        <v>3</v>
      </c>
      <c r="C12" s="92" t="s">
        <v>222</v>
      </c>
      <c r="D12" s="92" t="s">
        <v>241</v>
      </c>
      <c r="E12" s="98">
        <v>46204</v>
      </c>
      <c r="F12" s="93">
        <v>46216</v>
      </c>
      <c r="G12" s="93">
        <v>46217</v>
      </c>
      <c r="H12" s="43" t="str">
        <f>IF(Datos!$G12&gt;0,Datos!$G12-Datos!$E12+1 &amp; " " &amp; Idiomas!$A$29,"")</f>
        <v>14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1 días</v>
      </c>
      <c r="J12" s="92" t="s">
        <v>230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10</v>
      </c>
      <c r="B13" s="95" t="s">
        <v>3</v>
      </c>
      <c r="C13" s="95" t="s">
        <v>225</v>
      </c>
      <c r="D13" s="104" t="s">
        <v>242</v>
      </c>
      <c r="E13" s="96">
        <v>46204</v>
      </c>
      <c r="F13" s="96">
        <v>46216</v>
      </c>
      <c r="G13" s="96">
        <v>46217</v>
      </c>
      <c r="H13" s="45" t="str">
        <f>IF(Datos!$G13&gt;0,Datos!$G13-Datos!$E13+1 &amp; " " &amp; Idiomas!$A$29,"")</f>
        <v>14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230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10</v>
      </c>
      <c r="B14" s="92" t="s">
        <v>3</v>
      </c>
      <c r="C14" s="92" t="s">
        <v>226</v>
      </c>
      <c r="D14" s="102" t="s">
        <v>243</v>
      </c>
      <c r="E14" s="93">
        <v>46204</v>
      </c>
      <c r="F14" s="93">
        <v>46216</v>
      </c>
      <c r="G14" s="93">
        <v>46217</v>
      </c>
      <c r="H14" s="43" t="str">
        <f>IF(Datos!$G14&gt;0,Datos!$G14-Datos!$E14+1 &amp; " " &amp; Idiomas!$A$29,"")</f>
        <v>14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230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12</v>
      </c>
      <c r="B15" s="95" t="s">
        <v>3</v>
      </c>
      <c r="C15" s="95" t="s">
        <v>227</v>
      </c>
      <c r="D15" s="95" t="s">
        <v>244</v>
      </c>
      <c r="E15" s="96">
        <v>46204</v>
      </c>
      <c r="F15" s="96">
        <v>46216</v>
      </c>
      <c r="G15" s="96">
        <v>46217</v>
      </c>
      <c r="H15" s="45" t="str">
        <f>IF(Datos!$G15&gt;0,Datos!$G15-Datos!$E15+1 &amp; " " &amp; Idiomas!$A$29,"")</f>
        <v>14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1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12</v>
      </c>
      <c r="B16" s="92" t="s">
        <v>3</v>
      </c>
      <c r="C16" s="92" t="s">
        <v>256</v>
      </c>
      <c r="D16" s="92" t="s">
        <v>245</v>
      </c>
      <c r="E16" s="93">
        <v>46204</v>
      </c>
      <c r="F16" s="93">
        <v>46216</v>
      </c>
      <c r="G16" s="93">
        <v>46217</v>
      </c>
      <c r="H16" s="43" t="str">
        <f>IF(Datos!$G16&gt;0,Datos!$G16-Datos!$E16+1 &amp; " " &amp; Idiomas!$A$29,"")</f>
        <v>14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1 días</v>
      </c>
      <c r="J16" s="92" t="s">
        <v>229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12</v>
      </c>
      <c r="B17" s="95" t="s">
        <v>3</v>
      </c>
      <c r="C17" s="95" t="s">
        <v>257</v>
      </c>
      <c r="D17" s="95" t="s">
        <v>246</v>
      </c>
      <c r="E17" s="96">
        <v>46204</v>
      </c>
      <c r="F17" s="96">
        <v>46216</v>
      </c>
      <c r="G17" s="96">
        <v>46217</v>
      </c>
      <c r="H17" s="45" t="str">
        <f>IF(Datos!$G17&gt;0,Datos!$G17-Datos!$E17+1 &amp; " " &amp; Idiomas!$A$29,"")</f>
        <v>14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1 días</v>
      </c>
      <c r="J17" s="95" t="s">
        <v>229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10</v>
      </c>
      <c r="B18" s="92" t="s">
        <v>3</v>
      </c>
      <c r="C18" s="92" t="s">
        <v>258</v>
      </c>
      <c r="D18" s="92" t="s">
        <v>247</v>
      </c>
      <c r="E18" s="93">
        <v>46204</v>
      </c>
      <c r="F18" s="93">
        <v>46216</v>
      </c>
      <c r="G18" s="93">
        <v>46217</v>
      </c>
      <c r="H18" s="43" t="str">
        <f>IF(Datos!$G18&gt;0,Datos!$G18-Datos!$E18+1 &amp; " " &amp; Idiomas!$A$29,"")</f>
        <v>14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1 días</v>
      </c>
      <c r="J18" s="92" t="s">
        <v>229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12</v>
      </c>
      <c r="B19" s="95" t="s">
        <v>7</v>
      </c>
      <c r="C19" s="95" t="s">
        <v>259</v>
      </c>
      <c r="D19" s="95" t="s">
        <v>248</v>
      </c>
      <c r="E19" s="96">
        <v>46204</v>
      </c>
      <c r="F19" s="96">
        <v>46216</v>
      </c>
      <c r="G19" s="96">
        <v>46217</v>
      </c>
      <c r="H19" s="45" t="str">
        <f>IF(Datos!$G19&gt;0,Datos!$G19-Datos!$E19+1 &amp; " " &amp; Idiomas!$A$29,"")</f>
        <v>14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228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13</v>
      </c>
      <c r="B20" s="92" t="s">
        <v>3</v>
      </c>
      <c r="C20" s="92" t="s">
        <v>260</v>
      </c>
      <c r="D20" s="92" t="s">
        <v>249</v>
      </c>
      <c r="E20" s="93">
        <v>46204</v>
      </c>
      <c r="F20" s="93">
        <v>46216</v>
      </c>
      <c r="G20" s="93">
        <v>46217</v>
      </c>
      <c r="H20" s="43" t="str">
        <f>IF(Datos!$G20&gt;0,Datos!$G20-Datos!$E20+1 &amp; " " &amp; Idiomas!$A$29,"")</f>
        <v>14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1 días</v>
      </c>
      <c r="J20" s="92" t="s">
        <v>228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13</v>
      </c>
      <c r="B21" s="95" t="s">
        <v>3</v>
      </c>
      <c r="C21" s="95" t="s">
        <v>261</v>
      </c>
      <c r="D21" s="95" t="s">
        <v>250</v>
      </c>
      <c r="E21" s="96">
        <v>46204</v>
      </c>
      <c r="F21" s="96">
        <v>46216</v>
      </c>
      <c r="G21" s="96">
        <v>46217</v>
      </c>
      <c r="H21" s="45" t="str">
        <f>IF(Datos!$G21&gt;0,Datos!$G21-Datos!$E21+1 &amp; " " &amp; Idiomas!$A$29,"")</f>
        <v>14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1 días</v>
      </c>
      <c r="J21" s="95" t="s">
        <v>228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13</v>
      </c>
      <c r="B22" s="92" t="s">
        <v>3</v>
      </c>
      <c r="C22" s="92" t="s">
        <v>262</v>
      </c>
      <c r="D22" s="92" t="s">
        <v>251</v>
      </c>
      <c r="E22" s="93">
        <v>46204</v>
      </c>
      <c r="F22" s="93">
        <v>46216</v>
      </c>
      <c r="G22" s="93">
        <v>46217</v>
      </c>
      <c r="H22" s="43" t="str">
        <f>IF(Datos!$G22&gt;0,Datos!$G22-Datos!$E22+1 &amp; " " &amp; Idiomas!$A$29,"")</f>
        <v>14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1 días</v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12</v>
      </c>
      <c r="B23" s="95" t="s">
        <v>7</v>
      </c>
      <c r="C23" s="95" t="s">
        <v>263</v>
      </c>
      <c r="D23" s="95" t="s">
        <v>252</v>
      </c>
      <c r="E23" s="96">
        <v>46219</v>
      </c>
      <c r="F23" s="96">
        <v>46224</v>
      </c>
      <c r="G23" s="96">
        <v>46225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 días</v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13</v>
      </c>
      <c r="B24" s="92" t="s">
        <v>3</v>
      </c>
      <c r="C24" s="92" t="s">
        <v>264</v>
      </c>
      <c r="D24" s="92" t="s">
        <v>253</v>
      </c>
      <c r="E24" s="93">
        <v>46219</v>
      </c>
      <c r="F24" s="93">
        <v>46224</v>
      </c>
      <c r="G24" s="93">
        <v>46225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1 días</v>
      </c>
      <c r="J24" s="92" t="s">
        <v>229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13</v>
      </c>
      <c r="B25" s="95" t="s">
        <v>3</v>
      </c>
      <c r="C25" s="95" t="s">
        <v>265</v>
      </c>
      <c r="D25" s="95" t="s">
        <v>254</v>
      </c>
      <c r="E25" s="96">
        <v>46219</v>
      </c>
      <c r="F25" s="96">
        <v>46224</v>
      </c>
      <c r="G25" s="96">
        <v>46225</v>
      </c>
      <c r="H25" s="45" t="str">
        <f>IF(Datos!$G25&gt;0,Datos!$G25-Datos!$E25+1 &amp; " " &amp; Idiomas!$A$29,"")</f>
        <v>7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1 días</v>
      </c>
      <c r="J25" s="95" t="s">
        <v>229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13</v>
      </c>
      <c r="B26" s="92" t="s">
        <v>7</v>
      </c>
      <c r="C26" s="92" t="s">
        <v>266</v>
      </c>
      <c r="D26" s="92" t="s">
        <v>255</v>
      </c>
      <c r="E26" s="93">
        <v>46219</v>
      </c>
      <c r="F26" s="93">
        <v>46224</v>
      </c>
      <c r="G26" s="93">
        <v>46225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1 días</v>
      </c>
      <c r="J26" s="92" t="s">
        <v>229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 t="s">
        <v>12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1" sqref="F11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228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R6:R13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>H-69</v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H-69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H69:H76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>H-60</v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H-60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H60:H67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3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>M-24</v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M-24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M24:M31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3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>M-15</v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M-15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M15:M22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H-51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H-51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H51:H58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H-42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H-42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H42:H49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H-33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H-33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H33:H40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3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>M-6</v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M-6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M6:M13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2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>H-24</v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H-24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H24:H31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C-51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C51:C58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C-42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C42:C49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C-33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C33:C40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H-15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H15:H22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C-24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C-24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C24:C31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1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>C-15</v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C-15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C15:C22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1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>C-6</v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C-6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C6:C13</v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25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17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25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17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25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>
        <f t="shared" ca="1" si="2"/>
        <v>17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25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>
        <f t="shared" ca="1" si="2"/>
        <v>17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25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>
        <f t="shared" ca="1" si="2"/>
        <v>17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25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>
        <f t="shared" ca="1" si="2"/>
        <v>17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25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>
        <f t="shared" ca="1" si="2"/>
        <v>17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>
        <f ca="1"/>
        <v>8</v>
      </c>
      <c r="R9" s="20">
        <f t="shared" ca="1" si="13"/>
        <v>1</v>
      </c>
      <c r="S9" s="20">
        <f t="shared" ca="1" si="3"/>
        <v>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25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>
        <f t="shared" ca="1" si="2"/>
        <v>17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>
        <f ca="1"/>
        <v>9</v>
      </c>
      <c r="R10" s="20">
        <f t="shared" ca="1" si="13"/>
        <v>1</v>
      </c>
      <c r="S10" s="20">
        <f t="shared" ca="1" si="3"/>
        <v>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25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17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24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>
        <f ca="1"/>
        <v>11</v>
      </c>
      <c r="H12" s="20">
        <f t="shared" ca="1" si="11"/>
        <v>2</v>
      </c>
      <c r="I12" s="20">
        <f t="shared" ca="1" si="1"/>
        <v>22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2</v>
      </c>
      <c r="N12" s="20">
        <f t="shared" ca="1" si="2"/>
        <v>13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2-1</v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24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22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>
        <f ca="1"/>
        <v>12</v>
      </c>
      <c r="M13" s="20">
        <f t="shared" ca="1" si="12"/>
        <v>2</v>
      </c>
      <c r="N13" s="20">
        <f t="shared" ca="1" si="2"/>
        <v>13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2-2</v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24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22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>
        <f ca="1"/>
        <v>13</v>
      </c>
      <c r="M14" s="20">
        <f t="shared" ca="1" si="12"/>
        <v>2</v>
      </c>
      <c r="N14" s="20">
        <f t="shared" ca="1" si="2"/>
        <v>13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2-3</v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24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>
        <f ca="1"/>
        <v>14</v>
      </c>
      <c r="H15" s="20">
        <f t="shared" ca="1" si="11"/>
        <v>2</v>
      </c>
      <c r="I15" s="20">
        <f t="shared" ca="1" si="1"/>
        <v>22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2</v>
      </c>
      <c r="N15" s="20">
        <f t="shared" ca="1" si="2"/>
        <v>13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2-4</v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24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22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2</v>
      </c>
      <c r="N16" s="20">
        <f t="shared" ca="1" si="2"/>
        <v>13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2-5</v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24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22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2</v>
      </c>
      <c r="N17" s="20">
        <f t="shared" ca="1" si="2"/>
        <v>13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2-6</v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>
        <f t="shared" ca="1" si="0"/>
        <v>24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22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>
        <f ca="1"/>
        <v>17</v>
      </c>
      <c r="M18" s="20">
        <f t="shared" ca="1" si="12"/>
        <v>2</v>
      </c>
      <c r="N18" s="20">
        <f t="shared" ca="1" si="2"/>
        <v>13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2-7</v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>
        <f t="shared" ca="1" si="0"/>
        <v>24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>
        <f ca="1"/>
        <v>18</v>
      </c>
      <c r="H19" s="20">
        <f t="shared" ca="1" si="11"/>
        <v>2</v>
      </c>
      <c r="I19" s="20">
        <f t="shared" ca="1" si="1"/>
        <v>22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2</v>
      </c>
      <c r="N19" s="20">
        <f t="shared" ca="1" si="2"/>
        <v>13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2-8</v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>
        <f ca="1"/>
        <v>19</v>
      </c>
      <c r="C20" s="20">
        <f t="shared" ca="1" si="20"/>
        <v>2</v>
      </c>
      <c r="D20" s="20">
        <f t="shared" ca="1" si="0"/>
        <v>24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22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13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>
        <f ca="1"/>
        <v>20</v>
      </c>
      <c r="C21" s="20">
        <f t="shared" ca="1" si="20"/>
        <v>3</v>
      </c>
      <c r="D21" s="20">
        <f t="shared" ca="1" si="0"/>
        <v>23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18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3</v>
      </c>
      <c r="N21" s="20">
        <f t="shared" ca="1" si="2"/>
        <v>12</v>
      </c>
      <c r="O21" s="20" cm="1">
        <f t="array" aca="1" ref="O21" ca="1">IF(N21="","",IF(N21&lt;&gt;N20,1,IF(O20=misLíneas-2,0,O20+1)))</f>
        <v>1</v>
      </c>
      <c r="P21" s="20" t="str" cm="1">
        <f t="array" aca="1" ref="P21" ca="1">IF(OR(O21=0,O21=""),"",INDEX(misCriticidades,N21)&amp;"-"&amp;IFERROR(MATCH(O21,miOrdenTarjeta,0),0))</f>
        <v>2-1</v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>
        <f ca="1"/>
        <v>21</v>
      </c>
      <c r="C22" s="20">
        <f t="shared" ca="1" si="20"/>
        <v>3</v>
      </c>
      <c r="D22" s="20">
        <f t="shared" ca="1" si="0"/>
        <v>23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18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3</v>
      </c>
      <c r="N22" s="20">
        <f t="shared" ca="1" si="2"/>
        <v>12</v>
      </c>
      <c r="O22" s="20" cm="1">
        <f t="array" aca="1" ref="O22" ca="1">IF(N22="","",IF(N22&lt;&gt;N21,1,IF(O21=misLíneas-2,0,O21+1)))</f>
        <v>2</v>
      </c>
      <c r="P22" s="20" t="str" cm="1">
        <f t="array" aca="1" ref="P22" ca="1">IF(OR(O22=0,O22=""),"",INDEX(misCriticidades,N22)&amp;"-"&amp;IFERROR(MATCH(O22,miOrdenTarjeta,0),0))</f>
        <v>2-2</v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3</v>
      </c>
      <c r="D23" s="20">
        <f t="shared" ca="1" si="0"/>
        <v>23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>
        <f ca="1"/>
        <v>22</v>
      </c>
      <c r="H23" s="20">
        <f t="shared" ca="1" si="11"/>
        <v>3</v>
      </c>
      <c r="I23" s="20">
        <f t="shared" ca="1" si="1"/>
        <v>18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3</v>
      </c>
      <c r="N23" s="20">
        <f t="shared" ca="1" si="2"/>
        <v>12</v>
      </c>
      <c r="O23" s="20" cm="1">
        <f t="array" aca="1" ref="O23" ca="1">IF(N23="","",IF(N23&lt;&gt;N22,1,IF(O22=misLíneas-2,0,O22+1)))</f>
        <v>3</v>
      </c>
      <c r="P23" s="20" t="str" cm="1">
        <f t="array" aca="1" ref="P23" ca="1">IF(OR(O23=0,O23=""),"",INDEX(misCriticidades,N23)&amp;"-"&amp;IFERROR(MATCH(O23,miOrdenTarjeta,0),0))</f>
        <v>2-3</v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>
        <f ca="1"/>
        <v>23</v>
      </c>
      <c r="C24" s="20">
        <f t="shared" ca="1" si="20"/>
        <v>3</v>
      </c>
      <c r="D24" s="20">
        <f t="shared" ca="1" si="0"/>
        <v>23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18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3</v>
      </c>
      <c r="N24" s="20">
        <f t="shared" ca="1" si="2"/>
        <v>12</v>
      </c>
      <c r="O24" s="20" cm="1">
        <f t="array" aca="1" ref="O24" ca="1">IF(N24="","",IF(N24&lt;&gt;N23,1,IF(O23=misLíneas-2,0,O23+1)))</f>
        <v>4</v>
      </c>
      <c r="P24" s="20" t="str" cm="1">
        <f t="array" aca="1" ref="P24" ca="1">IF(OR(O24=0,O24=""),"",INDEX(misCriticidades,N24)&amp;"-"&amp;IFERROR(MATCH(O24,miOrdenTarjeta,0),0))</f>
        <v>2-4</v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>
        <f ca="1"/>
        <v>24</v>
      </c>
      <c r="C25" s="20">
        <f t="shared" ca="1" si="20"/>
        <v>3</v>
      </c>
      <c r="D25" s="20">
        <f t="shared" ca="1" si="0"/>
        <v>23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18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3</v>
      </c>
      <c r="N25" s="20">
        <f t="shared" ca="1" si="2"/>
        <v>12</v>
      </c>
      <c r="O25" s="20" cm="1">
        <f t="array" aca="1" ref="O25" ca="1">IF(N25="","",IF(N25&lt;&gt;N24,1,IF(O24=misLíneas-2,0,O24+1)))</f>
        <v>5</v>
      </c>
      <c r="P25" s="20" t="str" cm="1">
        <f t="array" aca="1" ref="P25" ca="1">IF(OR(O25=0,O25=""),"",INDEX(misCriticidades,N25)&amp;"-"&amp;IFERROR(MATCH(O25,miOrdenTarjeta,0),0))</f>
        <v>2-5</v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>
        <f ca="1"/>
        <v>25</v>
      </c>
      <c r="C26" s="20">
        <f t="shared" ca="1" si="20"/>
        <v>3</v>
      </c>
      <c r="D26" s="20">
        <f t="shared" ca="1" si="0"/>
        <v>23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18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3</v>
      </c>
      <c r="N26" s="20">
        <f t="shared" ca="1" si="2"/>
        <v>12</v>
      </c>
      <c r="O26" s="20" cm="1">
        <f t="array" aca="1" ref="O26" ca="1">IF(N26="","",IF(N26&lt;&gt;N25,1,IF(O25=misLíneas-2,0,O25+1)))</f>
        <v>6</v>
      </c>
      <c r="P26" s="20" t="str" cm="1">
        <f t="array" aca="1" ref="P26" ca="1">IF(OR(O26=0,O26=""),"",INDEX(misCriticidades,N26)&amp;"-"&amp;IFERROR(MATCH(O26,miOrdenTarjeta,0),0))</f>
        <v>2-6</v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>
        <f t="shared" ca="1" si="0"/>
        <v>23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18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3</v>
      </c>
      <c r="N27" s="20">
        <f t="shared" ca="1" si="2"/>
        <v>12</v>
      </c>
      <c r="O27" s="20" cm="1">
        <f t="array" aca="1" ref="O27" ca="1">IF(N27="","",IF(N27&lt;&gt;N26,1,IF(O26=misLíneas-2,0,O26+1)))</f>
        <v>7</v>
      </c>
      <c r="P27" s="20" t="str" cm="1">
        <f t="array" aca="1" ref="P27" ca="1">IF(OR(O27=0,O27=""),"",INDEX(misCriticidades,N27)&amp;"-"&amp;IFERROR(MATCH(O27,miOrdenTarjeta,0),0))</f>
        <v>2-7</v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>
        <f t="shared" ca="1" si="0"/>
        <v>23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18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3</v>
      </c>
      <c r="N28" s="20">
        <f t="shared" ca="1" si="2"/>
        <v>12</v>
      </c>
      <c r="O28" s="20" cm="1">
        <f t="array" aca="1" ref="O28" ca="1">IF(N28="","",IF(N28&lt;&gt;N27,1,IF(O27=misLíneas-2,0,O27+1)))</f>
        <v>8</v>
      </c>
      <c r="P28" s="20" t="str" cm="1">
        <f t="array" aca="1" ref="P28" ca="1">IF(OR(O28=0,O28=""),"",INDEX(misCriticidades,N28)&amp;"-"&amp;IFERROR(MATCH(O28,miOrdenTarjeta,0),0))</f>
        <v>2-8</v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23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18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>
        <f t="shared" ca="1" si="2"/>
        <v>12</v>
      </c>
      <c r="O29" s="20" cm="1">
        <f t="array" aca="1" ref="O29" ca="1">IF(N29="","",IF(N29&lt;&gt;N28,1,IF(O28=misLíneas-2,0,O28+1)))</f>
        <v>0</v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21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f ca="1"/>
        <v/>
      </c>
      <c r="H30" s="20">
        <f t="shared" ca="1" si="11"/>
        <v>4</v>
      </c>
      <c r="I30" s="20">
        <f t="shared" ca="1" si="1"/>
        <v>16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4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21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f ca="1"/>
        <v/>
      </c>
      <c r="H31" s="20">
        <f t="shared" ca="1" si="11"/>
        <v>4</v>
      </c>
      <c r="I31" s="20">
        <f t="shared" ca="1" si="1"/>
        <v>16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4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21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f ca="1"/>
        <v/>
      </c>
      <c r="H32" s="20">
        <f t="shared" ca="1" si="11"/>
        <v>4</v>
      </c>
      <c r="I32" s="20">
        <f t="shared" ca="1" si="1"/>
        <v>16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4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21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f ca="1"/>
        <v/>
      </c>
      <c r="H33" s="20">
        <f t="shared" ca="1" si="11"/>
        <v>4</v>
      </c>
      <c r="I33" s="20">
        <f t="shared" ca="1" si="1"/>
        <v>16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4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21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f ca="1"/>
        <v/>
      </c>
      <c r="H34" s="20">
        <f t="shared" ca="1" si="11"/>
        <v>4</v>
      </c>
      <c r="I34" s="20">
        <f t="shared" ca="1" si="1"/>
        <v>16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4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21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16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4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21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f ca="1"/>
        <v/>
      </c>
      <c r="H36" s="20">
        <f t="shared" ca="1" si="11"/>
        <v>4</v>
      </c>
      <c r="I36" s="20">
        <f t="shared" ca="1" si="22"/>
        <v>16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4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21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f ca="1"/>
        <v/>
      </c>
      <c r="H37" s="20">
        <f t="shared" ca="1" si="11"/>
        <v>4</v>
      </c>
      <c r="I37" s="20">
        <f t="shared" ca="1" si="22"/>
        <v>16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4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21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16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4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>
        <f t="shared" ca="1" si="21"/>
        <v>20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f ca="1"/>
        <v/>
      </c>
      <c r="H39" s="20">
        <f t="shared" ca="1" si="11"/>
        <v>5</v>
      </c>
      <c r="I39" s="20">
        <f t="shared" ca="1" si="22"/>
        <v>15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4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>
        <f t="shared" ca="1" si="21"/>
        <v>20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f ca="1"/>
        <v/>
      </c>
      <c r="H40" s="20">
        <f t="shared" ca="1" si="11"/>
        <v>5</v>
      </c>
      <c r="I40" s="20">
        <f t="shared" ca="1" si="22"/>
        <v>15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4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>
        <f t="shared" ca="1" si="21"/>
        <v>20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f ca="1"/>
        <v/>
      </c>
      <c r="H41" s="20">
        <f t="shared" ca="1" si="11"/>
        <v>5</v>
      </c>
      <c r="I41" s="20">
        <f t="shared" ca="1" si="22"/>
        <v>15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4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>
        <f t="shared" ca="1" si="21"/>
        <v>20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f ca="1"/>
        <v/>
      </c>
      <c r="H42" s="20">
        <f t="shared" ca="1" si="11"/>
        <v>5</v>
      </c>
      <c r="I42" s="20">
        <f t="shared" ca="1" si="22"/>
        <v>15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4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>
        <f t="shared" ca="1" si="21"/>
        <v>20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f ca="1"/>
        <v/>
      </c>
      <c r="H43" s="20">
        <f t="shared" ca="1" si="11"/>
        <v>5</v>
      </c>
      <c r="I43" s="20">
        <f t="shared" ca="1" si="22"/>
        <v>15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4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>
        <f t="shared" ca="1" si="21"/>
        <v>20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f ca="1"/>
        <v/>
      </c>
      <c r="H44" s="20">
        <f t="shared" ca="1" si="11"/>
        <v>5</v>
      </c>
      <c r="I44" s="20">
        <f t="shared" ca="1" si="22"/>
        <v>15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4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>
        <f t="shared" ca="1" si="21"/>
        <v>20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f ca="1"/>
        <v/>
      </c>
      <c r="H45" s="20">
        <f t="shared" ca="1" si="11"/>
        <v>5</v>
      </c>
      <c r="I45" s="20">
        <f t="shared" ca="1" si="22"/>
        <v>15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4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>
        <f t="shared" ca="1" si="21"/>
        <v>20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f ca="1"/>
        <v/>
      </c>
      <c r="H46" s="20">
        <f t="shared" ca="1" si="11"/>
        <v>5</v>
      </c>
      <c r="I46" s="20">
        <f t="shared" ca="1" si="22"/>
        <v>15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4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>
        <f t="shared" ca="1" si="21"/>
        <v>20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15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4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6</v>
      </c>
      <c r="D48" s="20">
        <f t="shared" ca="1" si="21"/>
        <v>19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f ca="1"/>
        <v/>
      </c>
      <c r="H48" s="20">
        <f t="shared" ca="1" si="11"/>
        <v>6</v>
      </c>
      <c r="I48" s="20">
        <f t="shared" ca="1" si="22"/>
        <v>14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4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6</v>
      </c>
      <c r="D49" s="20">
        <f t="shared" ca="1" si="21"/>
        <v>19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f ca="1"/>
        <v/>
      </c>
      <c r="H49" s="20">
        <f t="shared" ca="1" si="11"/>
        <v>6</v>
      </c>
      <c r="I49" s="20">
        <f t="shared" ca="1" si="22"/>
        <v>14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4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6</v>
      </c>
      <c r="D50" s="20">
        <f t="shared" ca="1" si="21"/>
        <v>19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f ca="1"/>
        <v/>
      </c>
      <c r="H50" s="20">
        <f t="shared" ca="1" si="11"/>
        <v>6</v>
      </c>
      <c r="I50" s="20">
        <f t="shared" ca="1" si="22"/>
        <v>14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4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6</v>
      </c>
      <c r="D51" s="20">
        <f t="shared" ca="1" si="21"/>
        <v>19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f ca="1"/>
        <v/>
      </c>
      <c r="H51" s="20">
        <f t="shared" ca="1" si="11"/>
        <v>6</v>
      </c>
      <c r="I51" s="20">
        <f t="shared" ca="1" si="22"/>
        <v>14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4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6</v>
      </c>
      <c r="D52" s="20">
        <f t="shared" ca="1" si="21"/>
        <v>19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f ca="1"/>
        <v/>
      </c>
      <c r="H52" s="20">
        <f t="shared" ca="1" si="11"/>
        <v>6</v>
      </c>
      <c r="I52" s="20">
        <f t="shared" ca="1" si="22"/>
        <v>14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4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6</v>
      </c>
      <c r="D53" s="20">
        <f t="shared" ca="1" si="21"/>
        <v>19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f ca="1"/>
        <v/>
      </c>
      <c r="H53" s="20">
        <f t="shared" ca="1" si="11"/>
        <v>6</v>
      </c>
      <c r="I53" s="20">
        <f t="shared" ca="1" si="22"/>
        <v>14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4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6</v>
      </c>
      <c r="D54" s="20">
        <f t="shared" ca="1" si="21"/>
        <v>19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f ca="1"/>
        <v/>
      </c>
      <c r="H54" s="20">
        <f t="shared" ca="1" si="11"/>
        <v>6</v>
      </c>
      <c r="I54" s="20">
        <f t="shared" ca="1" si="22"/>
        <v>14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4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6</v>
      </c>
      <c r="D55" s="20">
        <f t="shared" ca="1" si="21"/>
        <v>19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6</v>
      </c>
      <c r="I55" s="20">
        <f t="shared" ca="1" si="22"/>
        <v>14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4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6</v>
      </c>
      <c r="D56" s="20">
        <f t="shared" ca="1" si="21"/>
        <v>19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14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4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7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11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2-1</v>
      </c>
      <c r="L57" s="19" t="str">
        <f ca="1"/>
        <v/>
      </c>
      <c r="M57" s="20">
        <f t="shared" ca="1" si="12"/>
        <v>4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7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11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2-2</v>
      </c>
      <c r="L58" s="19" t="str">
        <f ca="1"/>
        <v/>
      </c>
      <c r="M58" s="20">
        <f t="shared" ca="1" si="12"/>
        <v>4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7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11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2-3</v>
      </c>
      <c r="L59" s="19" t="str">
        <f ca="1"/>
        <v/>
      </c>
      <c r="M59" s="20">
        <f t="shared" ca="1" si="12"/>
        <v>4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7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11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2-4</v>
      </c>
      <c r="L60" s="19" t="str">
        <f ca="1"/>
        <v/>
      </c>
      <c r="M60" s="20">
        <f t="shared" ca="1" si="12"/>
        <v>4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7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11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2-5</v>
      </c>
      <c r="L61" s="19" t="str">
        <f ca="1"/>
        <v/>
      </c>
      <c r="M61" s="20">
        <f t="shared" ca="1" si="12"/>
        <v>4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7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11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2-6</v>
      </c>
      <c r="L62" s="19" t="str">
        <f ca="1"/>
        <v/>
      </c>
      <c r="M62" s="20">
        <f t="shared" ca="1" si="12"/>
        <v>4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7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11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2-7</v>
      </c>
      <c r="L63" s="19" t="str">
        <f ca="1"/>
        <v/>
      </c>
      <c r="M63" s="20">
        <f t="shared" ca="1" si="12"/>
        <v>4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7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11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2-8</v>
      </c>
      <c r="L64" s="19" t="str">
        <f ca="1"/>
        <v/>
      </c>
      <c r="M64" s="20">
        <f t="shared" ca="1" si="12"/>
        <v>4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7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11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4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7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10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2-1</v>
      </c>
      <c r="L66" s="19" t="str">
        <f ca="1"/>
        <v/>
      </c>
      <c r="M66" s="20">
        <f t="shared" ca="1" si="12"/>
        <v>4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7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10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2-2</v>
      </c>
      <c r="L67" s="19" t="str">
        <f ca="1"/>
        <v/>
      </c>
      <c r="M67" s="20">
        <f t="shared" ca="1" si="12"/>
        <v>4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7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10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2-3</v>
      </c>
      <c r="L68" s="19" t="str">
        <f ca="1"/>
        <v/>
      </c>
      <c r="M68" s="20">
        <f t="shared" ref="M68:M131" ca="1" si="37">M67--(O67=0)</f>
        <v>4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7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10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2-4</v>
      </c>
      <c r="L69" s="19" t="str">
        <f ca="1"/>
        <v/>
      </c>
      <c r="M69" s="20">
        <f t="shared" ca="1" si="37"/>
        <v>4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7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10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2-5</v>
      </c>
      <c r="L70" s="19" t="str">
        <f ca="1"/>
        <v/>
      </c>
      <c r="M70" s="20">
        <f t="shared" ca="1" si="37"/>
        <v>4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7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10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2-6</v>
      </c>
      <c r="L71" s="19" t="str">
        <f ca="1"/>
        <v/>
      </c>
      <c r="M71" s="20">
        <f t="shared" ca="1" si="37"/>
        <v>4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7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10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2-7</v>
      </c>
      <c r="L72" s="19" t="str">
        <f ca="1"/>
        <v/>
      </c>
      <c r="M72" s="20">
        <f t="shared" ca="1" si="37"/>
        <v>4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7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10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2-8</v>
      </c>
      <c r="L73" s="19" t="str">
        <f ca="1"/>
        <v/>
      </c>
      <c r="M73" s="20">
        <f t="shared" ca="1" si="37"/>
        <v>4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7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10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4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7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4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7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4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7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4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7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4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7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4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7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4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7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4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7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4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7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4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7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9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4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7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>
        <f ca="1"/>
        <v>84</v>
      </c>
      <c r="H85" s="20">
        <f t="shared" ca="1" si="36"/>
        <v>9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4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7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9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4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7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9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4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7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9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4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7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9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4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7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9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4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7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9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4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7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9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4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7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9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4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7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9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4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7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9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4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7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9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4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7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9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4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7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9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4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7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9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4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7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9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4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7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9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4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7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9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4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7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9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4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7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9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4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7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9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4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7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9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4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7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9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4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7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9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4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7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9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4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7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9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4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7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9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4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7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9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4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7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9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4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7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9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4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7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9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4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7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9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4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7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9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4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7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9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4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7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9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4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7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9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4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7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9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4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7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9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4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7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9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4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7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9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4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7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9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4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7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9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4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7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9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4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7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9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4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7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9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4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7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9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4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7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9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4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7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9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4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7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9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4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7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9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4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7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9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4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7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9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4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7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9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4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7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9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4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7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9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4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7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9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4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7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9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4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7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9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4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7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9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4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7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9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4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7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9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4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7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9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4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7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9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4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7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9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4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7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9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4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7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9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4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7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9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4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7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9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4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7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9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4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7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9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4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7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9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4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7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9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4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7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9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4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7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9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4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7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9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4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7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9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4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7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9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4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7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9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4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7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9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4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7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9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4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7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9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4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7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9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4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7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9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4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7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9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4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7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9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4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7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9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4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7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9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4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7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9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4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7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9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4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7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9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4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7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9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4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7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9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4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7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9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4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7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9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4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7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9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4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7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9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4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7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9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4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7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9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4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7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9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4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7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9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4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7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9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4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7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9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4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7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9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4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7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9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4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7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9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4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7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9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4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7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9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4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7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9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4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7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9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4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7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9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4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7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9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4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7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9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4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7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9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4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7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9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4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Ariel Morillo</cp:lastModifiedBy>
  <cp:revision>0</cp:revision>
  <dcterms:created xsi:type="dcterms:W3CDTF">2022-12-26T11:27:14Z</dcterms:created>
  <dcterms:modified xsi:type="dcterms:W3CDTF">2026-07-02T02:03:36Z</dcterms:modified>
  <cp:category/>
  <cp:contentStatus/>
</cp:coreProperties>
</file>